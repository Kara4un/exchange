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05" windowWidth="27555" windowHeight="12300" activeTab="1"/>
  </bookViews>
  <sheets>
    <sheet name="Sheet1" sheetId="1" r:id="rId1"/>
    <sheet name="Sheet4" sheetId="4" r:id="rId2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E14" i="1" l="1"/>
  <c r="G14" i="1"/>
  <c r="E15" i="1"/>
  <c r="G15" i="1"/>
  <c r="G16" i="1"/>
  <c r="E11" i="1"/>
  <c r="G11" i="1"/>
  <c r="E12" i="1"/>
  <c r="G12" i="1"/>
  <c r="E13" i="1"/>
  <c r="G13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E43" i="1"/>
  <c r="G43" i="1"/>
  <c r="E44" i="1"/>
  <c r="G44" i="1"/>
  <c r="E45" i="1"/>
  <c r="G45" i="1"/>
  <c r="E46" i="1"/>
  <c r="G46" i="1"/>
  <c r="E47" i="1"/>
  <c r="G47" i="1"/>
  <c r="E48" i="1"/>
  <c r="G48" i="1"/>
  <c r="E49" i="1"/>
  <c r="G49" i="1"/>
  <c r="E50" i="1"/>
  <c r="G50" i="1"/>
  <c r="E51" i="1"/>
  <c r="G51" i="1"/>
  <c r="E52" i="1"/>
  <c r="G52" i="1"/>
  <c r="E53" i="1"/>
  <c r="G53" i="1"/>
  <c r="E54" i="1"/>
  <c r="G54" i="1"/>
  <c r="E55" i="1"/>
  <c r="G55" i="1"/>
  <c r="E56" i="1"/>
  <c r="G56" i="1"/>
  <c r="E57" i="1"/>
  <c r="G57" i="1"/>
  <c r="E58" i="1"/>
  <c r="G58" i="1"/>
  <c r="E59" i="1"/>
  <c r="G59" i="1"/>
  <c r="E60" i="1"/>
  <c r="G60" i="1"/>
  <c r="E61" i="1"/>
  <c r="G61" i="1"/>
  <c r="E62" i="1"/>
  <c r="G62" i="1"/>
  <c r="E63" i="1"/>
  <c r="G63" i="1"/>
  <c r="E64" i="1"/>
  <c r="G64" i="1"/>
  <c r="E65" i="1"/>
  <c r="G65" i="1"/>
  <c r="E66" i="1"/>
  <c r="G66" i="1"/>
  <c r="E67" i="1"/>
  <c r="G67" i="1"/>
  <c r="E68" i="1"/>
  <c r="G68" i="1"/>
  <c r="E69" i="1"/>
  <c r="G69" i="1"/>
  <c r="E70" i="1"/>
  <c r="G70" i="1"/>
  <c r="E71" i="1"/>
  <c r="G71" i="1"/>
  <c r="E72" i="1"/>
  <c r="G72" i="1"/>
  <c r="E73" i="1"/>
  <c r="G73" i="1"/>
  <c r="E74" i="1"/>
  <c r="G74" i="1"/>
  <c r="E75" i="1"/>
  <c r="G75" i="1"/>
  <c r="E76" i="1"/>
  <c r="G76" i="1"/>
  <c r="E77" i="1"/>
  <c r="G77" i="1"/>
  <c r="E78" i="1"/>
  <c r="G78" i="1"/>
  <c r="E79" i="1"/>
  <c r="G79" i="1"/>
  <c r="E80" i="1"/>
  <c r="G80" i="1"/>
  <c r="E81" i="1"/>
  <c r="G81" i="1"/>
  <c r="E82" i="1"/>
  <c r="G82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" i="1"/>
  <c r="G10" i="1"/>
  <c r="F10" i="1"/>
  <c r="E16" i="1"/>
  <c r="F16" i="1"/>
  <c r="F11" i="1"/>
  <c r="F12" i="1"/>
  <c r="F13" i="1"/>
  <c r="F14" i="1"/>
  <c r="F15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D10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1" i="1"/>
</calcChain>
</file>

<file path=xl/sharedStrings.xml><?xml version="1.0" encoding="utf-8"?>
<sst xmlns="http://schemas.openxmlformats.org/spreadsheetml/2006/main" count="624" uniqueCount="121">
  <si>
    <t>buy mkt 400</t>
  </si>
  <si>
    <t>sell mkt 100</t>
  </si>
  <si>
    <t>sell mkt 700</t>
  </si>
  <si>
    <t>sell mkt 200</t>
  </si>
  <si>
    <t>sell mkt 800</t>
  </si>
  <si>
    <t>sell mkt 500</t>
  </si>
  <si>
    <t>buy mkt 300</t>
  </si>
  <si>
    <t>buy mkt 200</t>
  </si>
  <si>
    <t>buy mkt 2000</t>
  </si>
  <si>
    <t>sell mkt 2000</t>
  </si>
  <si>
    <t>buy mkt 1000</t>
  </si>
  <si>
    <t>sell mkt 300</t>
  </si>
  <si>
    <t>buy mkt 800</t>
  </si>
  <si>
    <t>buy mkt 500</t>
  </si>
  <si>
    <t>buy mkt 100</t>
  </si>
  <si>
    <t>sell mkt 600</t>
  </si>
  <si>
    <t>buy mkt 900</t>
  </si>
  <si>
    <t>buy mkt 600</t>
  </si>
  <si>
    <t>sell mkt 5200</t>
  </si>
  <si>
    <t>sell lim 500</t>
  </si>
  <si>
    <t>sel mkt 100</t>
  </si>
  <si>
    <t>Время</t>
  </si>
  <si>
    <t>Заявка</t>
  </si>
  <si>
    <t>Направление</t>
  </si>
  <si>
    <t>Тип</t>
  </si>
  <si>
    <t>Объем</t>
  </si>
  <si>
    <t>Цена</t>
  </si>
  <si>
    <t>Стоп-заявка</t>
  </si>
  <si>
    <t>Да</t>
  </si>
  <si>
    <t>Номер заявки</t>
  </si>
  <si>
    <t>bid</t>
  </si>
  <si>
    <t>ask</t>
  </si>
  <si>
    <t>buy lim 27.6 700</t>
  </si>
  <si>
    <t>sell lim 27.8 400</t>
  </si>
  <si>
    <t>sell stop mkt 27.61 100</t>
  </si>
  <si>
    <t>buy lim 27.5 300</t>
  </si>
  <si>
    <t>buy lim 27.99 100</t>
  </si>
  <si>
    <t>byu lim 27.75 200</t>
  </si>
  <si>
    <t>buy lim 27.6 200</t>
  </si>
  <si>
    <t>buy lim 27.3 400</t>
  </si>
  <si>
    <t>byu lim 27.4 200</t>
  </si>
  <si>
    <t>byu lim 27.75 300</t>
  </si>
  <si>
    <t>sell lim 27.6 300</t>
  </si>
  <si>
    <t>buy lim 27.5 100</t>
  </si>
  <si>
    <t>sell lim 27.01 100</t>
  </si>
  <si>
    <t>buy lim 28.00 300</t>
  </si>
  <si>
    <t>buy lim 27.75 200</t>
  </si>
  <si>
    <t>sell lim 27.20 400</t>
  </si>
  <si>
    <t>buy lim 28.00 400</t>
  </si>
  <si>
    <t>buy lim 27.2 400</t>
  </si>
  <si>
    <t>sell lim 27.8 200</t>
  </si>
  <si>
    <t>buy lim 27.8 200</t>
  </si>
  <si>
    <t>sel lim 27.00 300</t>
  </si>
  <si>
    <t>buy lim 27.25 400</t>
  </si>
  <si>
    <t>buy lim 27.10 300</t>
  </si>
  <si>
    <t>sell lim 27.80 400</t>
  </si>
  <si>
    <t>sell lim 27.75 400</t>
  </si>
  <si>
    <t>buy 27.90 400</t>
  </si>
  <si>
    <t>sell lim 27.2 800</t>
  </si>
  <si>
    <t>buy lim 27.8 300</t>
  </si>
  <si>
    <t>sell lim 27.4 700</t>
  </si>
  <si>
    <t>buy lim 27.6 500</t>
  </si>
  <si>
    <t>buy lim 27.2 200</t>
  </si>
  <si>
    <t>buy lim 27.9 200</t>
  </si>
  <si>
    <t>buy lim 27.2 300</t>
  </si>
  <si>
    <t>sell lim 27.4 400</t>
  </si>
  <si>
    <t>sell lim 27.60 500</t>
  </si>
  <si>
    <t>sell lim 27.00 200</t>
  </si>
  <si>
    <t>sell lim 27.8 300</t>
  </si>
  <si>
    <t>sel lim 27.4 200</t>
  </si>
  <si>
    <t>sell lim 27.6 400</t>
  </si>
  <si>
    <t>buy lim 27.8 2500</t>
  </si>
  <si>
    <t>sel lim 27.6 2000</t>
  </si>
  <si>
    <t>buy lim 27.4 500</t>
  </si>
  <si>
    <t>sell lim 27.6 2000</t>
  </si>
  <si>
    <t>sell lim 27.00 300</t>
  </si>
  <si>
    <t>buy lim 28.00 1500</t>
  </si>
  <si>
    <t>Начальный стакан</t>
  </si>
  <si>
    <t>Заявки</t>
  </si>
  <si>
    <t>buy</t>
  </si>
  <si>
    <t>lim</t>
  </si>
  <si>
    <t>300</t>
  </si>
  <si>
    <t>27.18</t>
  </si>
  <si>
    <t>mkt</t>
  </si>
  <si>
    <t>400</t>
  </si>
  <si>
    <t/>
  </si>
  <si>
    <t>sell</t>
  </si>
  <si>
    <t>100</t>
  </si>
  <si>
    <t>700</t>
  </si>
  <si>
    <t>27.6</t>
  </si>
  <si>
    <t>27.8</t>
  </si>
  <si>
    <t>27.61</t>
  </si>
  <si>
    <t>27.5</t>
  </si>
  <si>
    <t>27.99</t>
  </si>
  <si>
    <t>byu</t>
  </si>
  <si>
    <t>200</t>
  </si>
  <si>
    <t>27.75</t>
  </si>
  <si>
    <t>27.3</t>
  </si>
  <si>
    <t>800</t>
  </si>
  <si>
    <t>27.4</t>
  </si>
  <si>
    <t>500</t>
  </si>
  <si>
    <t>27.01</t>
  </si>
  <si>
    <t>28.00</t>
  </si>
  <si>
    <t>27.20</t>
  </si>
  <si>
    <t>27.2</t>
  </si>
  <si>
    <t>2000</t>
  </si>
  <si>
    <t>sel</t>
  </si>
  <si>
    <t>27.00</t>
  </si>
  <si>
    <t>27.25</t>
  </si>
  <si>
    <t>27.10</t>
  </si>
  <si>
    <t>1000</t>
  </si>
  <si>
    <t>27.80</t>
  </si>
  <si>
    <t>27.90</t>
  </si>
  <si>
    <t>27.9</t>
  </si>
  <si>
    <t>600</t>
  </si>
  <si>
    <t>27.60</t>
  </si>
  <si>
    <t>900</t>
  </si>
  <si>
    <t>5200</t>
  </si>
  <si>
    <t>2500</t>
  </si>
  <si>
    <t>1500</t>
  </si>
  <si>
    <t>sell lim 27.18 300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</si>
</sst>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8"/>
      <color theme="1"/>
      <name val="Verdan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0" fontId="1" fillId="2" borderId="0" xfId="0" applyNumberFormat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20" fontId="0" fillId="0" borderId="0" xfId="0" applyNumberForma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7"/>
  <sheetViews>
    <sheetView workbookViewId="0">
      <selection activeCell="E10" sqref="A1:XFD1048576"/>
    </sheetView>
  </sheetViews>
  <sheetFormatPr defaultRowHeight="15" x14ac:dyDescent="0.25"/>
  <cols>
    <col min="2" max="3" width="26" customWidth="1"/>
  </cols>
  <sheetData>
    <row r="1" spans="1:10" x14ac:dyDescent="0.25">
      <c r="A1" s="6" t="s">
        <v>77</v>
      </c>
      <c r="B1" s="6"/>
      <c r="C1" s="6"/>
    </row>
    <row r="2" spans="1:10" x14ac:dyDescent="0.25">
      <c r="A2" t="s">
        <v>23</v>
      </c>
      <c r="B2" t="s">
        <v>25</v>
      </c>
      <c r="C2" t="s">
        <v>26</v>
      </c>
    </row>
    <row r="3" spans="1:10" x14ac:dyDescent="0.25">
      <c r="A3" t="s">
        <v>30</v>
      </c>
      <c r="B3">
        <v>3</v>
      </c>
      <c r="C3">
        <v>27.2</v>
      </c>
    </row>
    <row r="4" spans="1:10" x14ac:dyDescent="0.25">
      <c r="A4" t="s">
        <v>30</v>
      </c>
      <c r="B4">
        <v>600</v>
      </c>
      <c r="C4">
        <v>27</v>
      </c>
    </row>
    <row r="5" spans="1:10" x14ac:dyDescent="0.25">
      <c r="A5" t="s">
        <v>31</v>
      </c>
      <c r="B5">
        <v>4</v>
      </c>
      <c r="C5">
        <v>27.8</v>
      </c>
    </row>
    <row r="6" spans="1:10" x14ac:dyDescent="0.25">
      <c r="A6" t="s">
        <v>31</v>
      </c>
      <c r="B6">
        <v>700</v>
      </c>
      <c r="C6">
        <v>28</v>
      </c>
    </row>
    <row r="8" spans="1:10" x14ac:dyDescent="0.25">
      <c r="A8" s="6" t="s">
        <v>78</v>
      </c>
      <c r="B8" s="6"/>
      <c r="C8" s="6"/>
      <c r="D8" s="6"/>
      <c r="E8" s="6"/>
      <c r="F8" s="6"/>
      <c r="G8" s="6"/>
      <c r="H8" s="6"/>
    </row>
    <row r="9" spans="1:10" x14ac:dyDescent="0.25">
      <c r="A9" t="s">
        <v>21</v>
      </c>
      <c r="B9" t="s">
        <v>22</v>
      </c>
      <c r="C9" t="s">
        <v>29</v>
      </c>
      <c r="D9" t="s">
        <v>23</v>
      </c>
      <c r="E9" t="s">
        <v>24</v>
      </c>
      <c r="F9" t="s">
        <v>25</v>
      </c>
      <c r="G9" t="s">
        <v>26</v>
      </c>
      <c r="H9" t="s">
        <v>27</v>
      </c>
    </row>
    <row r="10" spans="1:10" x14ac:dyDescent="0.25">
      <c r="A10" s="1">
        <v>0.54236111111111118</v>
      </c>
      <c r="B10" s="2" t="s">
        <v>120</v>
      </c>
      <c r="C10" s="2">
        <v>1</v>
      </c>
      <c r="D10" t="str">
        <f>LEFT(B10,SEARCH(" ",B10)-1)</f>
        <v>sell</v>
      </c>
      <c r="E10" t="str">
        <f t="shared" ref="E10:E15" si="0">findword(B10,2)</f>
        <v>lim</v>
      </c>
      <c r="F10" s="5" t="str">
        <f t="shared" ref="F10:F15" si="1">IF(E10="lim",findword(B10,4),findword(B10,3))</f>
        <v>300</v>
      </c>
      <c r="G10" s="4" t="str">
        <f t="shared" ref="G10:G15" si="2">IF(E10="lim",findword(B10,3),"")</f>
        <v>27.18</v>
      </c>
      <c r="J10" s="4"/>
    </row>
    <row r="11" spans="1:10" x14ac:dyDescent="0.25">
      <c r="A11" s="1">
        <v>0.54305555555555551</v>
      </c>
      <c r="B11" s="2" t="s">
        <v>0</v>
      </c>
      <c r="C11" s="2">
        <v>2</v>
      </c>
      <c r="D11" t="str">
        <f>LEFT(B11,SEARCH(" ",B11)-1)</f>
        <v>buy</v>
      </c>
      <c r="E11" t="str">
        <f t="shared" si="0"/>
        <v>mkt</v>
      </c>
      <c r="F11" s="5" t="str">
        <f t="shared" si="1"/>
        <v>400</v>
      </c>
      <c r="G11" s="4" t="str">
        <f t="shared" si="2"/>
        <v/>
      </c>
    </row>
    <row r="12" spans="1:10" x14ac:dyDescent="0.25">
      <c r="A12" s="1">
        <v>0.54375000000000007</v>
      </c>
      <c r="B12" s="2" t="s">
        <v>1</v>
      </c>
      <c r="C12" s="2">
        <v>3</v>
      </c>
      <c r="D12" t="str">
        <f t="shared" ref="D12:D75" si="3">LEFT(B12,SEARCH(" ",B12)-1)</f>
        <v>sell</v>
      </c>
      <c r="E12" t="str">
        <f t="shared" si="0"/>
        <v>mkt</v>
      </c>
      <c r="F12" s="5" t="str">
        <f t="shared" si="1"/>
        <v>100</v>
      </c>
      <c r="G12" s="4" t="str">
        <f t="shared" si="2"/>
        <v/>
      </c>
    </row>
    <row r="13" spans="1:10" x14ac:dyDescent="0.25">
      <c r="A13" s="1">
        <v>0.5444444444444444</v>
      </c>
      <c r="B13" s="2" t="s">
        <v>0</v>
      </c>
      <c r="C13" s="2">
        <v>4</v>
      </c>
      <c r="D13" t="str">
        <f t="shared" si="3"/>
        <v>buy</v>
      </c>
      <c r="E13" t="str">
        <f t="shared" si="0"/>
        <v>mkt</v>
      </c>
      <c r="F13" s="5" t="str">
        <f t="shared" si="1"/>
        <v>400</v>
      </c>
      <c r="G13" s="4" t="str">
        <f t="shared" si="2"/>
        <v/>
      </c>
    </row>
    <row r="14" spans="1:10" x14ac:dyDescent="0.25">
      <c r="A14" s="1">
        <v>0.54583333333333328</v>
      </c>
      <c r="B14" s="2" t="s">
        <v>32</v>
      </c>
      <c r="C14" s="2">
        <v>5</v>
      </c>
      <c r="D14" t="str">
        <f t="shared" si="3"/>
        <v>buy</v>
      </c>
      <c r="E14" t="str">
        <f t="shared" si="0"/>
        <v>lim</v>
      </c>
      <c r="F14" s="5" t="str">
        <f t="shared" si="1"/>
        <v>700</v>
      </c>
      <c r="G14" s="4" t="str">
        <f t="shared" si="2"/>
        <v>27.6</v>
      </c>
    </row>
    <row r="15" spans="1:10" x14ac:dyDescent="0.25">
      <c r="A15" s="1">
        <v>0.54583333333333328</v>
      </c>
      <c r="B15" s="2" t="s">
        <v>33</v>
      </c>
      <c r="C15" s="2">
        <v>6</v>
      </c>
      <c r="D15" t="str">
        <f t="shared" si="3"/>
        <v>sell</v>
      </c>
      <c r="E15" t="str">
        <f t="shared" si="0"/>
        <v>lim</v>
      </c>
      <c r="F15" s="5" t="str">
        <f t="shared" si="1"/>
        <v>400</v>
      </c>
      <c r="G15" s="4" t="str">
        <f t="shared" si="2"/>
        <v>27.8</v>
      </c>
    </row>
    <row r="16" spans="1:10" x14ac:dyDescent="0.25">
      <c r="A16" s="1">
        <v>0.54583333333333328</v>
      </c>
      <c r="B16" s="2" t="s">
        <v>34</v>
      </c>
      <c r="C16" s="2">
        <v>7</v>
      </c>
      <c r="D16" t="str">
        <f t="shared" si="3"/>
        <v>sell</v>
      </c>
      <c r="E16" t="str">
        <f>findword(B16,3)</f>
        <v>mkt</v>
      </c>
      <c r="F16" s="5" t="str">
        <f>IF(E16="lim",findword(B16,5),findword(B16,5))</f>
        <v>100</v>
      </c>
      <c r="G16" s="4" t="str">
        <f>findword(B16,4)</f>
        <v>27.61</v>
      </c>
      <c r="H16" t="s">
        <v>28</v>
      </c>
    </row>
    <row r="17" spans="1:7" x14ac:dyDescent="0.25">
      <c r="A17" s="1">
        <v>0.54583333333333328</v>
      </c>
      <c r="B17" s="2" t="s">
        <v>35</v>
      </c>
      <c r="C17" s="2">
        <v>8</v>
      </c>
      <c r="D17" t="str">
        <f t="shared" si="3"/>
        <v>buy</v>
      </c>
      <c r="E17" t="str">
        <f t="shared" ref="E17:E48" si="4">findword(B17,2)</f>
        <v>lim</v>
      </c>
      <c r="F17" s="5" t="str">
        <f t="shared" ref="F17:F48" si="5">IF(E17="lim",findword(B17,4),findword(B17,3))</f>
        <v>300</v>
      </c>
      <c r="G17" s="4" t="str">
        <f t="shared" ref="G17:G48" si="6">IF(E17="lim",findword(B17,3),"")</f>
        <v>27.5</v>
      </c>
    </row>
    <row r="18" spans="1:7" x14ac:dyDescent="0.25">
      <c r="A18" s="1">
        <v>0.54583333333333328</v>
      </c>
      <c r="B18" s="2" t="s">
        <v>2</v>
      </c>
      <c r="C18" s="2">
        <v>9</v>
      </c>
      <c r="D18" t="str">
        <f t="shared" si="3"/>
        <v>sell</v>
      </c>
      <c r="E18" t="str">
        <f t="shared" si="4"/>
        <v>mkt</v>
      </c>
      <c r="F18" s="5" t="str">
        <f t="shared" si="5"/>
        <v>700</v>
      </c>
      <c r="G18" s="4" t="str">
        <f t="shared" si="6"/>
        <v/>
      </c>
    </row>
    <row r="19" spans="1:7" x14ac:dyDescent="0.25">
      <c r="A19" s="1">
        <v>0.54722222222222217</v>
      </c>
      <c r="B19" s="2" t="s">
        <v>36</v>
      </c>
      <c r="C19" s="2">
        <v>10</v>
      </c>
      <c r="D19" t="str">
        <f t="shared" si="3"/>
        <v>buy</v>
      </c>
      <c r="E19" t="str">
        <f t="shared" si="4"/>
        <v>lim</v>
      </c>
      <c r="F19" s="5" t="str">
        <f t="shared" si="5"/>
        <v>100</v>
      </c>
      <c r="G19" s="4" t="str">
        <f t="shared" si="6"/>
        <v>27.99</v>
      </c>
    </row>
    <row r="20" spans="1:7" x14ac:dyDescent="0.25">
      <c r="A20" s="1">
        <v>0.54722222222222217</v>
      </c>
      <c r="B20" s="2" t="s">
        <v>37</v>
      </c>
      <c r="C20" s="2">
        <v>11</v>
      </c>
      <c r="D20" t="str">
        <f t="shared" si="3"/>
        <v>byu</v>
      </c>
      <c r="E20" t="str">
        <f t="shared" si="4"/>
        <v>lim</v>
      </c>
      <c r="F20" s="5" t="str">
        <f t="shared" si="5"/>
        <v>200</v>
      </c>
      <c r="G20" s="4" t="str">
        <f t="shared" si="6"/>
        <v>27.75</v>
      </c>
    </row>
    <row r="21" spans="1:7" x14ac:dyDescent="0.25">
      <c r="A21" s="1">
        <v>0.54791666666666672</v>
      </c>
      <c r="B21" s="2" t="s">
        <v>3</v>
      </c>
      <c r="C21" s="2">
        <v>12</v>
      </c>
      <c r="D21" t="str">
        <f t="shared" si="3"/>
        <v>sell</v>
      </c>
      <c r="E21" t="str">
        <f t="shared" si="4"/>
        <v>mkt</v>
      </c>
      <c r="F21" s="5" t="str">
        <f t="shared" si="5"/>
        <v>200</v>
      </c>
      <c r="G21" s="4" t="str">
        <f t="shared" si="6"/>
        <v/>
      </c>
    </row>
    <row r="22" spans="1:7" x14ac:dyDescent="0.25">
      <c r="A22" s="1">
        <v>0.54861111111111105</v>
      </c>
      <c r="B22" s="2" t="s">
        <v>38</v>
      </c>
      <c r="C22" s="2">
        <v>13</v>
      </c>
      <c r="D22" t="str">
        <f t="shared" si="3"/>
        <v>buy</v>
      </c>
      <c r="E22" t="str">
        <f t="shared" si="4"/>
        <v>lim</v>
      </c>
      <c r="F22" s="5" t="str">
        <f t="shared" si="5"/>
        <v>200</v>
      </c>
      <c r="G22" s="4" t="str">
        <f t="shared" si="6"/>
        <v>27.6</v>
      </c>
    </row>
    <row r="23" spans="1:7" x14ac:dyDescent="0.25">
      <c r="A23" s="1">
        <v>0.54861111111111105</v>
      </c>
      <c r="B23" s="2" t="s">
        <v>39</v>
      </c>
      <c r="C23" s="2">
        <v>14</v>
      </c>
      <c r="D23" t="str">
        <f t="shared" si="3"/>
        <v>buy</v>
      </c>
      <c r="E23" t="str">
        <f t="shared" si="4"/>
        <v>lim</v>
      </c>
      <c r="F23" s="5" t="str">
        <f t="shared" si="5"/>
        <v>400</v>
      </c>
      <c r="G23" s="4" t="str">
        <f t="shared" si="6"/>
        <v>27.3</v>
      </c>
    </row>
    <row r="24" spans="1:7" x14ac:dyDescent="0.25">
      <c r="A24" s="1">
        <v>0.54861111111111105</v>
      </c>
      <c r="B24" s="2" t="s">
        <v>4</v>
      </c>
      <c r="C24" s="2">
        <v>15</v>
      </c>
      <c r="D24" t="str">
        <f t="shared" si="3"/>
        <v>sell</v>
      </c>
      <c r="E24" t="str">
        <f t="shared" si="4"/>
        <v>mkt</v>
      </c>
      <c r="F24" s="5" t="str">
        <f t="shared" si="5"/>
        <v>800</v>
      </c>
      <c r="G24" s="4" t="str">
        <f t="shared" si="6"/>
        <v/>
      </c>
    </row>
    <row r="25" spans="1:7" x14ac:dyDescent="0.25">
      <c r="A25" s="1">
        <v>0.54999999999999993</v>
      </c>
      <c r="B25" s="2" t="s">
        <v>40</v>
      </c>
      <c r="C25" s="2">
        <v>16</v>
      </c>
      <c r="D25" t="str">
        <f t="shared" si="3"/>
        <v>byu</v>
      </c>
      <c r="E25" t="str">
        <f t="shared" si="4"/>
        <v>lim</v>
      </c>
      <c r="F25" s="5" t="str">
        <f t="shared" si="5"/>
        <v>200</v>
      </c>
      <c r="G25" s="4" t="str">
        <f t="shared" si="6"/>
        <v>27.4</v>
      </c>
    </row>
    <row r="26" spans="1:7" x14ac:dyDescent="0.25">
      <c r="A26" s="1">
        <v>0.54999999999999993</v>
      </c>
      <c r="B26" s="2" t="s">
        <v>41</v>
      </c>
      <c r="C26" s="2">
        <v>17</v>
      </c>
      <c r="D26" t="str">
        <f t="shared" si="3"/>
        <v>byu</v>
      </c>
      <c r="E26" t="str">
        <f t="shared" si="4"/>
        <v>lim</v>
      </c>
      <c r="F26" s="5" t="str">
        <f t="shared" si="5"/>
        <v>300</v>
      </c>
      <c r="G26" s="4" t="str">
        <f t="shared" si="6"/>
        <v>27.75</v>
      </c>
    </row>
    <row r="27" spans="1:7" x14ac:dyDescent="0.25">
      <c r="A27" s="1">
        <v>0.54999999999999993</v>
      </c>
      <c r="B27" s="2" t="s">
        <v>5</v>
      </c>
      <c r="C27" s="2">
        <v>18</v>
      </c>
      <c r="D27" t="str">
        <f t="shared" si="3"/>
        <v>sell</v>
      </c>
      <c r="E27" t="str">
        <f t="shared" si="4"/>
        <v>mkt</v>
      </c>
      <c r="F27" s="5" t="str">
        <f t="shared" si="5"/>
        <v>500</v>
      </c>
      <c r="G27" s="4" t="str">
        <f t="shared" si="6"/>
        <v/>
      </c>
    </row>
    <row r="28" spans="1:7" x14ac:dyDescent="0.25">
      <c r="A28" s="1">
        <v>0.55208333333333337</v>
      </c>
      <c r="B28" s="2" t="s">
        <v>42</v>
      </c>
      <c r="C28" s="2">
        <v>19</v>
      </c>
      <c r="D28" t="str">
        <f t="shared" si="3"/>
        <v>sell</v>
      </c>
      <c r="E28" t="str">
        <f t="shared" si="4"/>
        <v>lim</v>
      </c>
      <c r="F28" s="5" t="str">
        <f t="shared" si="5"/>
        <v>300</v>
      </c>
      <c r="G28" s="4" t="str">
        <f t="shared" si="6"/>
        <v>27.6</v>
      </c>
    </row>
    <row r="29" spans="1:7" x14ac:dyDescent="0.25">
      <c r="A29" s="1">
        <v>0.55208333333333337</v>
      </c>
      <c r="B29" s="2" t="s">
        <v>43</v>
      </c>
      <c r="C29" s="2">
        <v>20</v>
      </c>
      <c r="D29" t="str">
        <f t="shared" si="3"/>
        <v>buy</v>
      </c>
      <c r="E29" t="str">
        <f t="shared" si="4"/>
        <v>lim</v>
      </c>
      <c r="F29" s="5" t="str">
        <f t="shared" si="5"/>
        <v>100</v>
      </c>
      <c r="G29" s="4" t="str">
        <f t="shared" si="6"/>
        <v>27.5</v>
      </c>
    </row>
    <row r="30" spans="1:7" x14ac:dyDescent="0.25">
      <c r="A30" s="1">
        <v>0.55208333333333337</v>
      </c>
      <c r="B30" s="2" t="s">
        <v>6</v>
      </c>
      <c r="C30" s="2">
        <v>21</v>
      </c>
      <c r="D30" t="str">
        <f t="shared" si="3"/>
        <v>buy</v>
      </c>
      <c r="E30" t="str">
        <f t="shared" si="4"/>
        <v>mkt</v>
      </c>
      <c r="F30" s="5" t="str">
        <f t="shared" si="5"/>
        <v>300</v>
      </c>
      <c r="G30" s="4" t="str">
        <f t="shared" si="6"/>
        <v/>
      </c>
    </row>
    <row r="31" spans="1:7" x14ac:dyDescent="0.25">
      <c r="A31" s="1">
        <v>0.55277777777777781</v>
      </c>
      <c r="B31" s="2" t="s">
        <v>44</v>
      </c>
      <c r="C31" s="2">
        <v>22</v>
      </c>
      <c r="D31" t="str">
        <f t="shared" si="3"/>
        <v>sell</v>
      </c>
      <c r="E31" t="str">
        <f t="shared" si="4"/>
        <v>lim</v>
      </c>
      <c r="F31" s="5" t="str">
        <f t="shared" si="5"/>
        <v>100</v>
      </c>
      <c r="G31" s="4" t="str">
        <f t="shared" si="6"/>
        <v>27.01</v>
      </c>
    </row>
    <row r="32" spans="1:7" x14ac:dyDescent="0.25">
      <c r="A32" s="1">
        <v>0.55347222222222225</v>
      </c>
      <c r="B32" s="2" t="s">
        <v>45</v>
      </c>
      <c r="C32" s="2">
        <v>23</v>
      </c>
      <c r="D32" t="str">
        <f t="shared" si="3"/>
        <v>buy</v>
      </c>
      <c r="E32" t="str">
        <f t="shared" si="4"/>
        <v>lim</v>
      </c>
      <c r="F32" s="5" t="str">
        <f t="shared" si="5"/>
        <v>300</v>
      </c>
      <c r="G32" s="4" t="str">
        <f t="shared" si="6"/>
        <v>28.00</v>
      </c>
    </row>
    <row r="33" spans="1:7" x14ac:dyDescent="0.25">
      <c r="A33" s="1">
        <v>0.55347222222222225</v>
      </c>
      <c r="B33" s="2" t="s">
        <v>46</v>
      </c>
      <c r="C33" s="2">
        <v>24</v>
      </c>
      <c r="D33" t="str">
        <f t="shared" si="3"/>
        <v>buy</v>
      </c>
      <c r="E33" t="str">
        <f t="shared" si="4"/>
        <v>lim</v>
      </c>
      <c r="F33" s="5" t="str">
        <f t="shared" si="5"/>
        <v>200</v>
      </c>
      <c r="G33" s="4" t="str">
        <f t="shared" si="6"/>
        <v>27.75</v>
      </c>
    </row>
    <row r="34" spans="1:7" x14ac:dyDescent="0.25">
      <c r="A34" s="1">
        <v>0.55486111111111114</v>
      </c>
      <c r="B34" s="2" t="s">
        <v>47</v>
      </c>
      <c r="C34" s="2">
        <v>25</v>
      </c>
      <c r="D34" t="str">
        <f t="shared" si="3"/>
        <v>sell</v>
      </c>
      <c r="E34" t="str">
        <f t="shared" si="4"/>
        <v>lim</v>
      </c>
      <c r="F34" s="5" t="str">
        <f t="shared" si="5"/>
        <v>400</v>
      </c>
      <c r="G34" s="4" t="str">
        <f t="shared" si="6"/>
        <v>27.20</v>
      </c>
    </row>
    <row r="35" spans="1:7" x14ac:dyDescent="0.25">
      <c r="A35" s="1">
        <v>0.55625000000000002</v>
      </c>
      <c r="B35" s="2" t="s">
        <v>48</v>
      </c>
      <c r="C35" s="2">
        <v>26</v>
      </c>
      <c r="D35" t="str">
        <f t="shared" si="3"/>
        <v>buy</v>
      </c>
      <c r="E35" t="str">
        <f t="shared" si="4"/>
        <v>lim</v>
      </c>
      <c r="F35" s="5" t="str">
        <f t="shared" si="5"/>
        <v>400</v>
      </c>
      <c r="G35" s="4" t="str">
        <f t="shared" si="6"/>
        <v>28.00</v>
      </c>
    </row>
    <row r="36" spans="1:7" x14ac:dyDescent="0.25">
      <c r="A36" s="1">
        <v>0.55763888888888891</v>
      </c>
      <c r="B36" s="2" t="s">
        <v>1</v>
      </c>
      <c r="C36" s="2">
        <v>27</v>
      </c>
      <c r="D36" t="str">
        <f t="shared" si="3"/>
        <v>sell</v>
      </c>
      <c r="E36" t="str">
        <f t="shared" si="4"/>
        <v>mkt</v>
      </c>
      <c r="F36" s="5" t="str">
        <f t="shared" si="5"/>
        <v>100</v>
      </c>
      <c r="G36" s="4" t="str">
        <f t="shared" si="6"/>
        <v/>
      </c>
    </row>
    <row r="37" spans="1:7" x14ac:dyDescent="0.25">
      <c r="A37" s="1">
        <v>0.55763888888888891</v>
      </c>
      <c r="B37" s="2" t="s">
        <v>49</v>
      </c>
      <c r="C37" s="2">
        <v>28</v>
      </c>
      <c r="D37" t="str">
        <f t="shared" si="3"/>
        <v>buy</v>
      </c>
      <c r="E37" t="str">
        <f t="shared" si="4"/>
        <v>lim</v>
      </c>
      <c r="F37" s="5" t="str">
        <f t="shared" si="5"/>
        <v>400</v>
      </c>
      <c r="G37" s="4" t="str">
        <f t="shared" si="6"/>
        <v>27.2</v>
      </c>
    </row>
    <row r="38" spans="1:7" x14ac:dyDescent="0.25">
      <c r="A38" s="1">
        <v>0.55763888888888891</v>
      </c>
      <c r="B38" s="2" t="s">
        <v>50</v>
      </c>
      <c r="C38" s="2">
        <v>29</v>
      </c>
      <c r="D38" t="str">
        <f t="shared" si="3"/>
        <v>sell</v>
      </c>
      <c r="E38" t="str">
        <f t="shared" si="4"/>
        <v>lim</v>
      </c>
      <c r="F38" s="5" t="str">
        <f t="shared" si="5"/>
        <v>200</v>
      </c>
      <c r="G38" s="4" t="str">
        <f t="shared" si="6"/>
        <v>27.8</v>
      </c>
    </row>
    <row r="39" spans="1:7" x14ac:dyDescent="0.25">
      <c r="A39" s="1">
        <v>0.55833333333333335</v>
      </c>
      <c r="B39" s="2" t="s">
        <v>7</v>
      </c>
      <c r="C39" s="2">
        <v>30</v>
      </c>
      <c r="D39" t="str">
        <f t="shared" si="3"/>
        <v>buy</v>
      </c>
      <c r="E39" t="str">
        <f t="shared" si="4"/>
        <v>mkt</v>
      </c>
      <c r="F39" s="5" t="str">
        <f t="shared" si="5"/>
        <v>200</v>
      </c>
      <c r="G39" s="4" t="str">
        <f t="shared" si="6"/>
        <v/>
      </c>
    </row>
    <row r="40" spans="1:7" x14ac:dyDescent="0.25">
      <c r="A40" s="1">
        <v>0.55902777777777779</v>
      </c>
      <c r="B40" s="2" t="s">
        <v>47</v>
      </c>
      <c r="C40" s="2">
        <v>31</v>
      </c>
      <c r="D40" t="str">
        <f t="shared" si="3"/>
        <v>sell</v>
      </c>
      <c r="E40" t="str">
        <f t="shared" si="4"/>
        <v>lim</v>
      </c>
      <c r="F40" s="5" t="str">
        <f t="shared" si="5"/>
        <v>400</v>
      </c>
      <c r="G40" s="4" t="str">
        <f t="shared" si="6"/>
        <v>27.20</v>
      </c>
    </row>
    <row r="41" spans="1:7" x14ac:dyDescent="0.25">
      <c r="A41" s="1">
        <v>0.56041666666666667</v>
      </c>
      <c r="B41" s="2" t="s">
        <v>8</v>
      </c>
      <c r="C41" s="2">
        <v>32</v>
      </c>
      <c r="D41" t="str">
        <f t="shared" si="3"/>
        <v>buy</v>
      </c>
      <c r="E41" t="str">
        <f t="shared" si="4"/>
        <v>mkt</v>
      </c>
      <c r="F41" s="5" t="str">
        <f t="shared" si="5"/>
        <v>2000</v>
      </c>
      <c r="G41" s="4" t="str">
        <f t="shared" si="6"/>
        <v/>
      </c>
    </row>
    <row r="42" spans="1:7" x14ac:dyDescent="0.25">
      <c r="A42" s="1">
        <v>0.56111111111111112</v>
      </c>
      <c r="B42" s="2" t="s">
        <v>9</v>
      </c>
      <c r="C42" s="2">
        <v>33</v>
      </c>
      <c r="D42" t="str">
        <f t="shared" si="3"/>
        <v>sell</v>
      </c>
      <c r="E42" t="str">
        <f t="shared" si="4"/>
        <v>mkt</v>
      </c>
      <c r="F42" s="5" t="str">
        <f t="shared" si="5"/>
        <v>2000</v>
      </c>
      <c r="G42" s="4" t="str">
        <f t="shared" si="6"/>
        <v/>
      </c>
    </row>
    <row r="43" spans="1:7" x14ac:dyDescent="0.25">
      <c r="A43" s="1">
        <v>0.56111111111111112</v>
      </c>
      <c r="B43" s="2" t="s">
        <v>51</v>
      </c>
      <c r="C43" s="2">
        <v>34</v>
      </c>
      <c r="D43" t="str">
        <f t="shared" si="3"/>
        <v>buy</v>
      </c>
      <c r="E43" t="str">
        <f t="shared" si="4"/>
        <v>lim</v>
      </c>
      <c r="F43" s="5" t="str">
        <f t="shared" si="5"/>
        <v>200</v>
      </c>
      <c r="G43" s="4" t="str">
        <f t="shared" si="6"/>
        <v>27.8</v>
      </c>
    </row>
    <row r="44" spans="1:7" x14ac:dyDescent="0.25">
      <c r="A44" s="1">
        <v>0.56180555555555556</v>
      </c>
      <c r="B44" s="2" t="s">
        <v>47</v>
      </c>
      <c r="C44" s="2">
        <v>35</v>
      </c>
      <c r="D44" t="str">
        <f t="shared" si="3"/>
        <v>sell</v>
      </c>
      <c r="E44" t="str">
        <f t="shared" si="4"/>
        <v>lim</v>
      </c>
      <c r="F44" s="5" t="str">
        <f t="shared" si="5"/>
        <v>400</v>
      </c>
      <c r="G44" s="4" t="str">
        <f t="shared" si="6"/>
        <v>27.20</v>
      </c>
    </row>
    <row r="45" spans="1:7" x14ac:dyDescent="0.25">
      <c r="A45" s="1">
        <v>0.5625</v>
      </c>
      <c r="B45" s="2" t="s">
        <v>7</v>
      </c>
      <c r="C45" s="2">
        <v>36</v>
      </c>
      <c r="D45" t="str">
        <f t="shared" si="3"/>
        <v>buy</v>
      </c>
      <c r="E45" t="str">
        <f t="shared" si="4"/>
        <v>mkt</v>
      </c>
      <c r="F45" s="5" t="str">
        <f t="shared" si="5"/>
        <v>200</v>
      </c>
      <c r="G45" s="4" t="str">
        <f t="shared" si="6"/>
        <v/>
      </c>
    </row>
    <row r="46" spans="1:7" x14ac:dyDescent="0.25">
      <c r="A46" s="1">
        <v>0.56388888888888888</v>
      </c>
      <c r="B46" s="2" t="s">
        <v>52</v>
      </c>
      <c r="C46" s="2">
        <v>37</v>
      </c>
      <c r="D46" t="str">
        <f t="shared" si="3"/>
        <v>sel</v>
      </c>
      <c r="E46" t="str">
        <f t="shared" si="4"/>
        <v>lim</v>
      </c>
      <c r="F46" s="5" t="str">
        <f t="shared" si="5"/>
        <v>300</v>
      </c>
      <c r="G46" s="4" t="str">
        <f t="shared" si="6"/>
        <v>27.00</v>
      </c>
    </row>
    <row r="47" spans="1:7" x14ac:dyDescent="0.25">
      <c r="A47" s="1">
        <v>0.56388888888888888</v>
      </c>
      <c r="B47" s="2" t="s">
        <v>53</v>
      </c>
      <c r="C47" s="2">
        <v>38</v>
      </c>
      <c r="D47" t="str">
        <f t="shared" si="3"/>
        <v>buy</v>
      </c>
      <c r="E47" t="str">
        <f t="shared" si="4"/>
        <v>lim</v>
      </c>
      <c r="F47" s="5" t="str">
        <f t="shared" si="5"/>
        <v>400</v>
      </c>
      <c r="G47" s="4" t="str">
        <f t="shared" si="6"/>
        <v>27.25</v>
      </c>
    </row>
    <row r="48" spans="1:7" x14ac:dyDescent="0.25">
      <c r="A48" s="1">
        <v>0.56388888888888888</v>
      </c>
      <c r="B48" s="2" t="s">
        <v>54</v>
      </c>
      <c r="C48" s="2">
        <v>39</v>
      </c>
      <c r="D48" t="str">
        <f t="shared" si="3"/>
        <v>buy</v>
      </c>
      <c r="E48" t="str">
        <f t="shared" si="4"/>
        <v>lim</v>
      </c>
      <c r="F48" s="5" t="str">
        <f t="shared" si="5"/>
        <v>300</v>
      </c>
      <c r="G48" s="4" t="str">
        <f t="shared" si="6"/>
        <v>27.10</v>
      </c>
    </row>
    <row r="49" spans="1:7" x14ac:dyDescent="0.25">
      <c r="A49" s="1">
        <v>0.56458333333333333</v>
      </c>
      <c r="B49" s="2" t="s">
        <v>2</v>
      </c>
      <c r="C49" s="2">
        <v>40</v>
      </c>
      <c r="D49" t="str">
        <f t="shared" si="3"/>
        <v>sell</v>
      </c>
      <c r="E49" t="str">
        <f t="shared" ref="E49:E74" si="7">findword(B49,2)</f>
        <v>mkt</v>
      </c>
      <c r="F49" s="5" t="str">
        <f t="shared" ref="F49:F80" si="8">IF(E49="lim",findword(B49,4),findword(B49,3))</f>
        <v>700</v>
      </c>
      <c r="G49" s="4" t="str">
        <f t="shared" ref="G49:G74" si="9">IF(E49="lim",findword(B49,3),"")</f>
        <v/>
      </c>
    </row>
    <row r="50" spans="1:7" x14ac:dyDescent="0.25">
      <c r="A50" s="1">
        <v>0.56597222222222221</v>
      </c>
      <c r="B50" s="2" t="s">
        <v>47</v>
      </c>
      <c r="C50" s="2">
        <v>41</v>
      </c>
      <c r="D50" t="str">
        <f t="shared" si="3"/>
        <v>sell</v>
      </c>
      <c r="E50" t="str">
        <f t="shared" si="7"/>
        <v>lim</v>
      </c>
      <c r="F50" s="5" t="str">
        <f t="shared" si="8"/>
        <v>400</v>
      </c>
      <c r="G50" s="4" t="str">
        <f t="shared" si="9"/>
        <v>27.20</v>
      </c>
    </row>
    <row r="51" spans="1:7" x14ac:dyDescent="0.25">
      <c r="A51" s="1">
        <v>0.56597222222222221</v>
      </c>
      <c r="B51" s="2" t="s">
        <v>10</v>
      </c>
      <c r="C51" s="2">
        <v>42</v>
      </c>
      <c r="D51" t="str">
        <f t="shared" si="3"/>
        <v>buy</v>
      </c>
      <c r="E51" t="str">
        <f t="shared" si="7"/>
        <v>mkt</v>
      </c>
      <c r="F51" s="5" t="str">
        <f t="shared" si="8"/>
        <v>1000</v>
      </c>
      <c r="G51" s="4" t="str">
        <f t="shared" si="9"/>
        <v/>
      </c>
    </row>
    <row r="52" spans="1:7" x14ac:dyDescent="0.25">
      <c r="A52" s="1">
        <v>0.56736111111111109</v>
      </c>
      <c r="B52" s="2" t="s">
        <v>11</v>
      </c>
      <c r="C52" s="2">
        <v>43</v>
      </c>
      <c r="D52" t="str">
        <f t="shared" si="3"/>
        <v>sell</v>
      </c>
      <c r="E52" t="str">
        <f t="shared" si="7"/>
        <v>mkt</v>
      </c>
      <c r="F52" s="5" t="str">
        <f t="shared" si="8"/>
        <v>300</v>
      </c>
      <c r="G52" s="4" t="str">
        <f t="shared" si="9"/>
        <v/>
      </c>
    </row>
    <row r="53" spans="1:7" x14ac:dyDescent="0.25">
      <c r="A53" s="1">
        <v>0.56736111111111109</v>
      </c>
      <c r="B53" s="2" t="s">
        <v>51</v>
      </c>
      <c r="C53" s="2">
        <v>44</v>
      </c>
      <c r="D53" t="str">
        <f t="shared" si="3"/>
        <v>buy</v>
      </c>
      <c r="E53" t="str">
        <f t="shared" si="7"/>
        <v>lim</v>
      </c>
      <c r="F53" s="5" t="str">
        <f t="shared" si="8"/>
        <v>200</v>
      </c>
      <c r="G53" s="4" t="str">
        <f t="shared" si="9"/>
        <v>27.8</v>
      </c>
    </row>
    <row r="54" spans="1:7" x14ac:dyDescent="0.25">
      <c r="A54" s="1">
        <v>0.56805555555555554</v>
      </c>
      <c r="B54" s="2" t="s">
        <v>55</v>
      </c>
      <c r="C54" s="2">
        <v>45</v>
      </c>
      <c r="D54" t="str">
        <f t="shared" si="3"/>
        <v>sell</v>
      </c>
      <c r="E54" t="str">
        <f t="shared" si="7"/>
        <v>lim</v>
      </c>
      <c r="F54" s="5" t="str">
        <f t="shared" si="8"/>
        <v>400</v>
      </c>
      <c r="G54" s="4" t="str">
        <f t="shared" si="9"/>
        <v>27.80</v>
      </c>
    </row>
    <row r="55" spans="1:7" x14ac:dyDescent="0.25">
      <c r="A55" s="1">
        <v>0.57013888888888886</v>
      </c>
      <c r="B55" s="2" t="s">
        <v>7</v>
      </c>
      <c r="C55" s="2">
        <v>46</v>
      </c>
      <c r="D55" t="str">
        <f t="shared" si="3"/>
        <v>buy</v>
      </c>
      <c r="E55" t="str">
        <f t="shared" si="7"/>
        <v>mkt</v>
      </c>
      <c r="F55" s="5" t="str">
        <f t="shared" si="8"/>
        <v>200</v>
      </c>
      <c r="G55" s="4" t="str">
        <f t="shared" si="9"/>
        <v/>
      </c>
    </row>
    <row r="56" spans="1:7" x14ac:dyDescent="0.25">
      <c r="A56" s="1">
        <v>0.57013888888888886</v>
      </c>
      <c r="B56" s="2" t="s">
        <v>56</v>
      </c>
      <c r="C56" s="2">
        <v>47</v>
      </c>
      <c r="D56" t="str">
        <f t="shared" si="3"/>
        <v>sell</v>
      </c>
      <c r="E56" t="str">
        <f t="shared" si="7"/>
        <v>lim</v>
      </c>
      <c r="F56" s="5" t="str">
        <f t="shared" si="8"/>
        <v>400</v>
      </c>
      <c r="G56" s="4" t="str">
        <f t="shared" si="9"/>
        <v>27.75</v>
      </c>
    </row>
    <row r="57" spans="1:7" x14ac:dyDescent="0.25">
      <c r="A57" s="1">
        <v>0.57013888888888886</v>
      </c>
      <c r="B57" s="2" t="s">
        <v>12</v>
      </c>
      <c r="C57" s="2">
        <v>48</v>
      </c>
      <c r="D57" t="str">
        <f t="shared" si="3"/>
        <v>buy</v>
      </c>
      <c r="E57" t="str">
        <f t="shared" si="7"/>
        <v>mkt</v>
      </c>
      <c r="F57" s="5" t="str">
        <f t="shared" si="8"/>
        <v>800</v>
      </c>
      <c r="G57" s="4" t="str">
        <f t="shared" si="9"/>
        <v/>
      </c>
    </row>
    <row r="58" spans="1:7" x14ac:dyDescent="0.25">
      <c r="A58" s="1">
        <v>0.57013888888888886</v>
      </c>
      <c r="B58" s="2" t="s">
        <v>57</v>
      </c>
      <c r="C58" s="2">
        <v>49</v>
      </c>
      <c r="D58" t="str">
        <f t="shared" si="3"/>
        <v>buy</v>
      </c>
      <c r="E58" t="str">
        <f t="shared" si="7"/>
        <v>27.90</v>
      </c>
      <c r="F58" s="5" t="str">
        <f t="shared" si="8"/>
        <v>400</v>
      </c>
      <c r="G58" s="4" t="str">
        <f t="shared" si="9"/>
        <v/>
      </c>
    </row>
    <row r="59" spans="1:7" x14ac:dyDescent="0.25">
      <c r="A59" s="1">
        <v>0.57152777777777775</v>
      </c>
      <c r="B59" s="2" t="s">
        <v>58</v>
      </c>
      <c r="C59" s="2">
        <v>50</v>
      </c>
      <c r="D59" t="str">
        <f t="shared" si="3"/>
        <v>sell</v>
      </c>
      <c r="E59" t="str">
        <f t="shared" si="7"/>
        <v>lim</v>
      </c>
      <c r="F59" s="5" t="str">
        <f t="shared" si="8"/>
        <v>800</v>
      </c>
      <c r="G59" s="4" t="str">
        <f t="shared" si="9"/>
        <v>27.2</v>
      </c>
    </row>
    <row r="60" spans="1:7" x14ac:dyDescent="0.25">
      <c r="A60" s="1">
        <v>0.57291666666666663</v>
      </c>
      <c r="B60" s="2" t="s">
        <v>13</v>
      </c>
      <c r="C60" s="2">
        <v>51</v>
      </c>
      <c r="D60" t="str">
        <f t="shared" si="3"/>
        <v>buy</v>
      </c>
      <c r="E60" t="str">
        <f t="shared" si="7"/>
        <v>mkt</v>
      </c>
      <c r="F60" s="5" t="str">
        <f t="shared" si="8"/>
        <v>500</v>
      </c>
      <c r="G60" s="4" t="str">
        <f t="shared" si="9"/>
        <v/>
      </c>
    </row>
    <row r="61" spans="1:7" x14ac:dyDescent="0.25">
      <c r="A61" s="1">
        <v>0.57500000000000007</v>
      </c>
      <c r="B61" s="2" t="s">
        <v>1</v>
      </c>
      <c r="C61" s="2">
        <v>52</v>
      </c>
      <c r="D61" t="str">
        <f t="shared" si="3"/>
        <v>sell</v>
      </c>
      <c r="E61" t="str">
        <f t="shared" si="7"/>
        <v>mkt</v>
      </c>
      <c r="F61" s="5" t="str">
        <f t="shared" si="8"/>
        <v>100</v>
      </c>
      <c r="G61" s="4" t="str">
        <f t="shared" si="9"/>
        <v/>
      </c>
    </row>
    <row r="62" spans="1:7" x14ac:dyDescent="0.25">
      <c r="A62" s="1">
        <v>0.57500000000000007</v>
      </c>
      <c r="B62" s="2" t="s">
        <v>59</v>
      </c>
      <c r="C62" s="2">
        <v>53</v>
      </c>
      <c r="D62" t="str">
        <f t="shared" si="3"/>
        <v>buy</v>
      </c>
      <c r="E62" t="str">
        <f t="shared" si="7"/>
        <v>lim</v>
      </c>
      <c r="F62" s="5" t="str">
        <f t="shared" si="8"/>
        <v>300</v>
      </c>
      <c r="G62" s="4" t="str">
        <f t="shared" si="9"/>
        <v>27.8</v>
      </c>
    </row>
    <row r="63" spans="1:7" x14ac:dyDescent="0.25">
      <c r="A63" s="1">
        <v>0.57500000000000007</v>
      </c>
      <c r="B63" s="2" t="s">
        <v>60</v>
      </c>
      <c r="C63" s="2">
        <v>54</v>
      </c>
      <c r="D63" t="str">
        <f t="shared" si="3"/>
        <v>sell</v>
      </c>
      <c r="E63" t="str">
        <f t="shared" si="7"/>
        <v>lim</v>
      </c>
      <c r="F63" s="5" t="str">
        <f t="shared" si="8"/>
        <v>700</v>
      </c>
      <c r="G63" s="4" t="str">
        <f t="shared" si="9"/>
        <v>27.4</v>
      </c>
    </row>
    <row r="64" spans="1:7" x14ac:dyDescent="0.25">
      <c r="A64" s="1">
        <v>0.57708333333333328</v>
      </c>
      <c r="B64" s="2" t="s">
        <v>61</v>
      </c>
      <c r="C64" s="2">
        <v>55</v>
      </c>
      <c r="D64" t="str">
        <f t="shared" si="3"/>
        <v>buy</v>
      </c>
      <c r="E64" t="str">
        <f t="shared" si="7"/>
        <v>lim</v>
      </c>
      <c r="F64" s="5" t="str">
        <f t="shared" si="8"/>
        <v>500</v>
      </c>
      <c r="G64" s="4" t="str">
        <f t="shared" si="9"/>
        <v>27.6</v>
      </c>
    </row>
    <row r="65" spans="1:7" x14ac:dyDescent="0.25">
      <c r="A65" s="1">
        <v>0.57916666666666672</v>
      </c>
      <c r="B65" s="2" t="s">
        <v>50</v>
      </c>
      <c r="C65" s="2">
        <v>56</v>
      </c>
      <c r="D65" t="str">
        <f t="shared" si="3"/>
        <v>sell</v>
      </c>
      <c r="E65" t="str">
        <f t="shared" si="7"/>
        <v>lim</v>
      </c>
      <c r="F65" s="5" t="str">
        <f t="shared" si="8"/>
        <v>200</v>
      </c>
      <c r="G65" s="4" t="str">
        <f t="shared" si="9"/>
        <v>27.8</v>
      </c>
    </row>
    <row r="66" spans="1:7" x14ac:dyDescent="0.25">
      <c r="A66" s="1">
        <v>0.57916666666666672</v>
      </c>
      <c r="B66" s="2" t="s">
        <v>1</v>
      </c>
      <c r="C66" s="2">
        <v>57</v>
      </c>
      <c r="D66" t="str">
        <f t="shared" si="3"/>
        <v>sell</v>
      </c>
      <c r="E66" t="str">
        <f t="shared" si="7"/>
        <v>mkt</v>
      </c>
      <c r="F66" s="5" t="str">
        <f t="shared" si="8"/>
        <v>100</v>
      </c>
      <c r="G66" s="4" t="str">
        <f t="shared" si="9"/>
        <v/>
      </c>
    </row>
    <row r="67" spans="1:7" x14ac:dyDescent="0.25">
      <c r="A67" s="1">
        <v>0.5805555555555556</v>
      </c>
      <c r="B67" s="2" t="s">
        <v>62</v>
      </c>
      <c r="C67" s="2">
        <v>58</v>
      </c>
      <c r="D67" t="str">
        <f t="shared" si="3"/>
        <v>buy</v>
      </c>
      <c r="E67" t="str">
        <f t="shared" si="7"/>
        <v>lim</v>
      </c>
      <c r="F67" s="5" t="str">
        <f t="shared" si="8"/>
        <v>200</v>
      </c>
      <c r="G67" s="4" t="str">
        <f t="shared" si="9"/>
        <v>27.2</v>
      </c>
    </row>
    <row r="68" spans="1:7" x14ac:dyDescent="0.25">
      <c r="A68" s="1">
        <v>0.5805555555555556</v>
      </c>
      <c r="B68" s="2" t="s">
        <v>63</v>
      </c>
      <c r="C68" s="2">
        <v>59</v>
      </c>
      <c r="D68" t="str">
        <f t="shared" si="3"/>
        <v>buy</v>
      </c>
      <c r="E68" t="str">
        <f t="shared" si="7"/>
        <v>lim</v>
      </c>
      <c r="F68" s="5" t="str">
        <f t="shared" si="8"/>
        <v>200</v>
      </c>
      <c r="G68" s="4" t="str">
        <f t="shared" si="9"/>
        <v>27.9</v>
      </c>
    </row>
    <row r="69" spans="1:7" x14ac:dyDescent="0.25">
      <c r="A69" s="1">
        <v>0.58194444444444449</v>
      </c>
      <c r="B69" s="2" t="s">
        <v>3</v>
      </c>
      <c r="C69" s="2">
        <v>60</v>
      </c>
      <c r="D69" t="str">
        <f t="shared" si="3"/>
        <v>sell</v>
      </c>
      <c r="E69" t="str">
        <f t="shared" si="7"/>
        <v>mkt</v>
      </c>
      <c r="F69" s="5" t="str">
        <f t="shared" si="8"/>
        <v>200</v>
      </c>
      <c r="G69" s="4" t="str">
        <f t="shared" si="9"/>
        <v/>
      </c>
    </row>
    <row r="70" spans="1:7" x14ac:dyDescent="0.25">
      <c r="A70" s="1">
        <v>0.58402777777777781</v>
      </c>
      <c r="B70" s="2" t="s">
        <v>1</v>
      </c>
      <c r="C70" s="2">
        <v>61</v>
      </c>
      <c r="D70" t="str">
        <f t="shared" si="3"/>
        <v>sell</v>
      </c>
      <c r="E70" t="str">
        <f t="shared" si="7"/>
        <v>mkt</v>
      </c>
      <c r="F70" s="5" t="str">
        <f t="shared" si="8"/>
        <v>100</v>
      </c>
      <c r="G70" s="4" t="str">
        <f t="shared" si="9"/>
        <v/>
      </c>
    </row>
    <row r="71" spans="1:7" x14ac:dyDescent="0.25">
      <c r="A71" s="1">
        <v>0.58611111111111114</v>
      </c>
      <c r="B71" s="2" t="s">
        <v>14</v>
      </c>
      <c r="C71" s="2">
        <v>62</v>
      </c>
      <c r="D71" t="str">
        <f t="shared" si="3"/>
        <v>buy</v>
      </c>
      <c r="E71" t="str">
        <f t="shared" si="7"/>
        <v>mkt</v>
      </c>
      <c r="F71" s="5" t="str">
        <f t="shared" si="8"/>
        <v>100</v>
      </c>
      <c r="G71" s="4" t="str">
        <f t="shared" si="9"/>
        <v/>
      </c>
    </row>
    <row r="72" spans="1:7" x14ac:dyDescent="0.25">
      <c r="A72" s="1">
        <v>0.58680555555555558</v>
      </c>
      <c r="B72" s="2" t="s">
        <v>51</v>
      </c>
      <c r="C72" s="2">
        <v>63</v>
      </c>
      <c r="D72" t="str">
        <f t="shared" si="3"/>
        <v>buy</v>
      </c>
      <c r="E72" t="str">
        <f t="shared" si="7"/>
        <v>lim</v>
      </c>
      <c r="F72" s="5" t="str">
        <f t="shared" si="8"/>
        <v>200</v>
      </c>
      <c r="G72" s="4" t="str">
        <f t="shared" si="9"/>
        <v>27.8</v>
      </c>
    </row>
    <row r="73" spans="1:7" x14ac:dyDescent="0.25">
      <c r="A73" s="1">
        <v>0.58680555555555558</v>
      </c>
      <c r="B73" s="2" t="s">
        <v>49</v>
      </c>
      <c r="C73" s="2">
        <v>64</v>
      </c>
      <c r="D73" t="str">
        <f t="shared" si="3"/>
        <v>buy</v>
      </c>
      <c r="E73" t="str">
        <f t="shared" si="7"/>
        <v>lim</v>
      </c>
      <c r="F73" s="5" t="str">
        <f t="shared" si="8"/>
        <v>400</v>
      </c>
      <c r="G73" s="4" t="str">
        <f t="shared" si="9"/>
        <v>27.2</v>
      </c>
    </row>
    <row r="74" spans="1:7" x14ac:dyDescent="0.25">
      <c r="A74" s="1">
        <v>0.58680555555555558</v>
      </c>
      <c r="B74" s="2" t="s">
        <v>15</v>
      </c>
      <c r="C74" s="2">
        <v>65</v>
      </c>
      <c r="D74" t="str">
        <f t="shared" si="3"/>
        <v>sell</v>
      </c>
      <c r="E74" t="str">
        <f t="shared" si="7"/>
        <v>mkt</v>
      </c>
      <c r="F74" s="5" t="str">
        <f t="shared" si="8"/>
        <v>600</v>
      </c>
      <c r="G74" s="4" t="str">
        <f t="shared" si="9"/>
        <v/>
      </c>
    </row>
    <row r="75" spans="1:7" x14ac:dyDescent="0.25">
      <c r="A75" s="1">
        <v>0.59027777777777779</v>
      </c>
      <c r="B75" s="2" t="s">
        <v>33</v>
      </c>
      <c r="C75" s="2">
        <v>66</v>
      </c>
      <c r="D75" t="str">
        <f t="shared" si="3"/>
        <v>sell</v>
      </c>
      <c r="E75" t="str">
        <f t="shared" ref="E75:E107" si="10">findword(B75,2)</f>
        <v>lim</v>
      </c>
      <c r="F75" s="5" t="str">
        <f t="shared" si="8"/>
        <v>400</v>
      </c>
      <c r="G75" s="4" t="str">
        <f t="shared" ref="G75:G107" si="11">IF(E75="lim",findword(B75,3),"")</f>
        <v>27.8</v>
      </c>
    </row>
    <row r="76" spans="1:7" x14ac:dyDescent="0.25">
      <c r="A76" s="1">
        <v>0.59027777777777779</v>
      </c>
      <c r="B76" s="2" t="s">
        <v>64</v>
      </c>
      <c r="C76" s="2">
        <v>67</v>
      </c>
      <c r="D76" t="str">
        <f t="shared" ref="D76:D107" si="12">LEFT(B76,SEARCH(" ",B76)-1)</f>
        <v>buy</v>
      </c>
      <c r="E76" t="str">
        <f t="shared" si="10"/>
        <v>lim</v>
      </c>
      <c r="F76" s="5" t="str">
        <f t="shared" si="8"/>
        <v>300</v>
      </c>
      <c r="G76" s="4" t="str">
        <f t="shared" si="11"/>
        <v>27.2</v>
      </c>
    </row>
    <row r="77" spans="1:7" x14ac:dyDescent="0.25">
      <c r="A77" s="1">
        <v>0.59027777777777779</v>
      </c>
      <c r="B77" s="2" t="s">
        <v>65</v>
      </c>
      <c r="C77" s="2">
        <v>68</v>
      </c>
      <c r="D77" t="str">
        <f t="shared" si="12"/>
        <v>sell</v>
      </c>
      <c r="E77" t="str">
        <f t="shared" si="10"/>
        <v>lim</v>
      </c>
      <c r="F77" s="5" t="str">
        <f t="shared" si="8"/>
        <v>400</v>
      </c>
      <c r="G77" s="4" t="str">
        <f t="shared" si="11"/>
        <v>27.4</v>
      </c>
    </row>
    <row r="78" spans="1:7" x14ac:dyDescent="0.25">
      <c r="A78" s="1">
        <v>0.59027777777777779</v>
      </c>
      <c r="B78" s="2" t="s">
        <v>66</v>
      </c>
      <c r="C78" s="2">
        <v>69</v>
      </c>
      <c r="D78" t="str">
        <f t="shared" si="12"/>
        <v>sell</v>
      </c>
      <c r="E78" t="str">
        <f t="shared" si="10"/>
        <v>lim</v>
      </c>
      <c r="F78" s="5" t="str">
        <f t="shared" si="8"/>
        <v>500</v>
      </c>
      <c r="G78" s="4" t="str">
        <f t="shared" si="11"/>
        <v>27.60</v>
      </c>
    </row>
    <row r="79" spans="1:7" x14ac:dyDescent="0.25">
      <c r="A79" s="1">
        <v>0.59027777777777779</v>
      </c>
      <c r="B79" s="2" t="s">
        <v>16</v>
      </c>
      <c r="C79" s="2">
        <v>70</v>
      </c>
      <c r="D79" t="str">
        <f t="shared" si="12"/>
        <v>buy</v>
      </c>
      <c r="E79" t="str">
        <f t="shared" si="10"/>
        <v>mkt</v>
      </c>
      <c r="F79" s="5" t="str">
        <f t="shared" si="8"/>
        <v>900</v>
      </c>
      <c r="G79" s="4" t="str">
        <f t="shared" si="11"/>
        <v/>
      </c>
    </row>
    <row r="80" spans="1:7" x14ac:dyDescent="0.25">
      <c r="A80" s="1">
        <v>0.59375</v>
      </c>
      <c r="B80" s="2" t="s">
        <v>0</v>
      </c>
      <c r="C80" s="2">
        <v>71</v>
      </c>
      <c r="D80" t="str">
        <f t="shared" si="12"/>
        <v>buy</v>
      </c>
      <c r="E80" t="str">
        <f t="shared" si="10"/>
        <v>mkt</v>
      </c>
      <c r="F80" s="5" t="str">
        <f t="shared" si="8"/>
        <v>400</v>
      </c>
      <c r="G80" s="4" t="str">
        <f t="shared" si="11"/>
        <v/>
      </c>
    </row>
    <row r="81" spans="1:7" x14ac:dyDescent="0.25">
      <c r="A81" s="1">
        <v>0.59652777777777777</v>
      </c>
      <c r="B81" s="2" t="s">
        <v>11</v>
      </c>
      <c r="C81" s="2">
        <v>72</v>
      </c>
      <c r="D81" t="str">
        <f t="shared" si="12"/>
        <v>sell</v>
      </c>
      <c r="E81" t="str">
        <f t="shared" si="10"/>
        <v>mkt</v>
      </c>
      <c r="F81" s="5" t="str">
        <f t="shared" ref="F81:F107" si="13">IF(E81="lim",findword(B81,4),findword(B81,3))</f>
        <v>300</v>
      </c>
      <c r="G81" s="4" t="str">
        <f t="shared" si="11"/>
        <v/>
      </c>
    </row>
    <row r="82" spans="1:7" x14ac:dyDescent="0.25">
      <c r="A82" s="1">
        <v>0.59791666666666665</v>
      </c>
      <c r="B82" s="2" t="s">
        <v>67</v>
      </c>
      <c r="C82" s="2">
        <v>73</v>
      </c>
      <c r="D82" t="str">
        <f t="shared" si="12"/>
        <v>sell</v>
      </c>
      <c r="E82" t="str">
        <f t="shared" si="10"/>
        <v>lim</v>
      </c>
      <c r="F82" s="5" t="str">
        <f t="shared" si="13"/>
        <v>200</v>
      </c>
      <c r="G82" s="4" t="str">
        <f t="shared" si="11"/>
        <v>27.00</v>
      </c>
    </row>
    <row r="83" spans="1:7" x14ac:dyDescent="0.25">
      <c r="A83" s="1">
        <v>0.59930555555555554</v>
      </c>
      <c r="B83" s="2" t="s">
        <v>14</v>
      </c>
      <c r="C83" s="2">
        <v>74</v>
      </c>
      <c r="D83" t="str">
        <f t="shared" si="12"/>
        <v>buy</v>
      </c>
      <c r="E83" t="str">
        <f t="shared" si="10"/>
        <v>mkt</v>
      </c>
      <c r="F83" s="5" t="str">
        <f t="shared" si="13"/>
        <v>100</v>
      </c>
      <c r="G83" s="4" t="str">
        <f t="shared" si="11"/>
        <v/>
      </c>
    </row>
    <row r="84" spans="1:7" x14ac:dyDescent="0.25">
      <c r="A84" s="1">
        <v>0.60138888888888886</v>
      </c>
      <c r="B84" s="2" t="s">
        <v>68</v>
      </c>
      <c r="C84" s="2">
        <v>75</v>
      </c>
      <c r="D84" t="str">
        <f t="shared" si="12"/>
        <v>sell</v>
      </c>
      <c r="E84" t="str">
        <f t="shared" si="10"/>
        <v>lim</v>
      </c>
      <c r="F84" s="5" t="str">
        <f t="shared" si="13"/>
        <v>300</v>
      </c>
      <c r="G84" s="4" t="str">
        <f t="shared" si="11"/>
        <v>27.8</v>
      </c>
    </row>
    <row r="85" spans="1:7" x14ac:dyDescent="0.25">
      <c r="A85" s="1">
        <v>0.60138888888888886</v>
      </c>
      <c r="B85" s="2" t="s">
        <v>6</v>
      </c>
      <c r="C85" s="2">
        <v>76</v>
      </c>
      <c r="D85" t="str">
        <f t="shared" si="12"/>
        <v>buy</v>
      </c>
      <c r="E85" t="str">
        <f t="shared" si="10"/>
        <v>mkt</v>
      </c>
      <c r="F85" s="5" t="str">
        <f t="shared" si="13"/>
        <v>300</v>
      </c>
      <c r="G85" s="4" t="str">
        <f t="shared" si="11"/>
        <v/>
      </c>
    </row>
    <row r="86" spans="1:7" x14ac:dyDescent="0.25">
      <c r="A86" s="1">
        <v>0.60277777777777775</v>
      </c>
      <c r="B86" s="2" t="s">
        <v>69</v>
      </c>
      <c r="C86" s="2">
        <v>77</v>
      </c>
      <c r="D86" t="str">
        <f t="shared" si="12"/>
        <v>sel</v>
      </c>
      <c r="E86" t="str">
        <f t="shared" si="10"/>
        <v>lim</v>
      </c>
      <c r="F86" s="5" t="str">
        <f t="shared" si="13"/>
        <v>200</v>
      </c>
      <c r="G86" s="4" t="str">
        <f t="shared" si="11"/>
        <v>27.4</v>
      </c>
    </row>
    <row r="87" spans="1:7" x14ac:dyDescent="0.25">
      <c r="A87" s="1">
        <v>0.60277777777777775</v>
      </c>
      <c r="B87" s="2" t="s">
        <v>70</v>
      </c>
      <c r="C87" s="2">
        <v>78</v>
      </c>
      <c r="D87" t="str">
        <f t="shared" si="12"/>
        <v>sell</v>
      </c>
      <c r="E87" t="str">
        <f t="shared" si="10"/>
        <v>lim</v>
      </c>
      <c r="F87" s="5" t="str">
        <f t="shared" si="13"/>
        <v>400</v>
      </c>
      <c r="G87" s="4" t="str">
        <f t="shared" si="11"/>
        <v>27.6</v>
      </c>
    </row>
    <row r="88" spans="1:7" x14ac:dyDescent="0.25">
      <c r="A88" s="1">
        <v>0.60277777777777775</v>
      </c>
      <c r="B88" s="2" t="s">
        <v>64</v>
      </c>
      <c r="C88" s="2">
        <v>79</v>
      </c>
      <c r="D88" t="str">
        <f t="shared" si="12"/>
        <v>buy</v>
      </c>
      <c r="E88" t="str">
        <f t="shared" si="10"/>
        <v>lim</v>
      </c>
      <c r="F88" s="5" t="str">
        <f t="shared" si="13"/>
        <v>300</v>
      </c>
      <c r="G88" s="4" t="str">
        <f t="shared" si="11"/>
        <v>27.2</v>
      </c>
    </row>
    <row r="89" spans="1:7" x14ac:dyDescent="0.25">
      <c r="A89" s="1">
        <v>0.60277777777777775</v>
      </c>
      <c r="B89" s="2" t="s">
        <v>11</v>
      </c>
      <c r="C89" s="2">
        <v>80</v>
      </c>
      <c r="D89" t="str">
        <f t="shared" si="12"/>
        <v>sell</v>
      </c>
      <c r="E89" t="str">
        <f t="shared" si="10"/>
        <v>mkt</v>
      </c>
      <c r="F89" s="5" t="str">
        <f t="shared" si="13"/>
        <v>300</v>
      </c>
      <c r="G89" s="4" t="str">
        <f t="shared" si="11"/>
        <v/>
      </c>
    </row>
    <row r="90" spans="1:7" x14ac:dyDescent="0.25">
      <c r="A90" s="1">
        <v>0.60486111111111118</v>
      </c>
      <c r="B90" s="2" t="s">
        <v>17</v>
      </c>
      <c r="C90" s="2">
        <v>81</v>
      </c>
      <c r="D90" t="str">
        <f t="shared" si="12"/>
        <v>buy</v>
      </c>
      <c r="E90" t="str">
        <f t="shared" si="10"/>
        <v>mkt</v>
      </c>
      <c r="F90" s="5" t="str">
        <f t="shared" si="13"/>
        <v>600</v>
      </c>
      <c r="G90" s="4" t="str">
        <f t="shared" si="11"/>
        <v/>
      </c>
    </row>
    <row r="91" spans="1:7" x14ac:dyDescent="0.25">
      <c r="A91" s="1">
        <v>0.60833333333333328</v>
      </c>
      <c r="B91" s="2" t="s">
        <v>18</v>
      </c>
      <c r="C91" s="2">
        <v>82</v>
      </c>
      <c r="D91" t="str">
        <f t="shared" si="12"/>
        <v>sell</v>
      </c>
      <c r="E91" t="str">
        <f t="shared" si="10"/>
        <v>mkt</v>
      </c>
      <c r="F91" s="5" t="str">
        <f t="shared" si="13"/>
        <v>5200</v>
      </c>
      <c r="G91" s="4" t="str">
        <f t="shared" si="11"/>
        <v/>
      </c>
    </row>
    <row r="92" spans="1:7" x14ac:dyDescent="0.25">
      <c r="A92" s="1">
        <v>0.60902777777777783</v>
      </c>
      <c r="B92" s="2" t="s">
        <v>6</v>
      </c>
      <c r="C92" s="2">
        <v>83</v>
      </c>
      <c r="D92" t="str">
        <f t="shared" si="12"/>
        <v>buy</v>
      </c>
      <c r="E92" t="str">
        <f t="shared" si="10"/>
        <v>mkt</v>
      </c>
      <c r="F92" s="5" t="str">
        <f t="shared" si="13"/>
        <v>300</v>
      </c>
      <c r="G92" s="4" t="str">
        <f t="shared" si="11"/>
        <v/>
      </c>
    </row>
    <row r="93" spans="1:7" x14ac:dyDescent="0.25">
      <c r="A93" s="1">
        <v>0.6118055555555556</v>
      </c>
      <c r="B93" s="2" t="s">
        <v>71</v>
      </c>
      <c r="C93" s="2">
        <v>84</v>
      </c>
      <c r="D93" t="str">
        <f t="shared" si="12"/>
        <v>buy</v>
      </c>
      <c r="E93" t="str">
        <f t="shared" si="10"/>
        <v>lim</v>
      </c>
      <c r="F93" s="5" t="str">
        <f t="shared" si="13"/>
        <v>2500</v>
      </c>
      <c r="G93" s="4" t="str">
        <f t="shared" si="11"/>
        <v>27.8</v>
      </c>
    </row>
    <row r="94" spans="1:7" x14ac:dyDescent="0.25">
      <c r="A94" s="1">
        <v>0.6118055555555556</v>
      </c>
      <c r="B94" s="2" t="s">
        <v>68</v>
      </c>
      <c r="C94" s="2">
        <v>85</v>
      </c>
      <c r="D94" t="str">
        <f t="shared" si="12"/>
        <v>sell</v>
      </c>
      <c r="E94" t="str">
        <f t="shared" si="10"/>
        <v>lim</v>
      </c>
      <c r="F94" s="5" t="str">
        <f t="shared" si="13"/>
        <v>300</v>
      </c>
      <c r="G94" s="4" t="str">
        <f t="shared" si="11"/>
        <v>27.8</v>
      </c>
    </row>
    <row r="95" spans="1:7" x14ac:dyDescent="0.25">
      <c r="A95" s="1">
        <v>0.61249999999999993</v>
      </c>
      <c r="B95" s="2" t="s">
        <v>14</v>
      </c>
      <c r="C95" s="2">
        <v>86</v>
      </c>
      <c r="D95" t="str">
        <f t="shared" si="12"/>
        <v>buy</v>
      </c>
      <c r="E95" t="str">
        <f t="shared" si="10"/>
        <v>mkt</v>
      </c>
      <c r="F95" s="5" t="str">
        <f t="shared" si="13"/>
        <v>100</v>
      </c>
      <c r="G95" s="4" t="str">
        <f t="shared" si="11"/>
        <v/>
      </c>
    </row>
    <row r="96" spans="1:7" x14ac:dyDescent="0.25">
      <c r="A96" s="1">
        <v>0.61527777777777781</v>
      </c>
      <c r="B96" s="2" t="s">
        <v>14</v>
      </c>
      <c r="C96" s="2">
        <v>87</v>
      </c>
      <c r="D96" t="str">
        <f t="shared" si="12"/>
        <v>buy</v>
      </c>
      <c r="E96" t="str">
        <f t="shared" si="10"/>
        <v>mkt</v>
      </c>
      <c r="F96" s="5" t="str">
        <f t="shared" si="13"/>
        <v>100</v>
      </c>
      <c r="G96" s="4" t="str">
        <f t="shared" si="11"/>
        <v/>
      </c>
    </row>
    <row r="97" spans="1:7" x14ac:dyDescent="0.25">
      <c r="A97" s="1">
        <v>0.6166666666666667</v>
      </c>
      <c r="B97" s="2" t="s">
        <v>19</v>
      </c>
      <c r="C97" s="2">
        <v>88</v>
      </c>
      <c r="D97" t="str">
        <f t="shared" si="12"/>
        <v>sell</v>
      </c>
      <c r="E97" t="str">
        <f t="shared" si="10"/>
        <v>lim</v>
      </c>
      <c r="F97" s="5" t="str">
        <f t="shared" si="13"/>
        <v/>
      </c>
      <c r="G97" s="4" t="str">
        <f t="shared" si="11"/>
        <v>500</v>
      </c>
    </row>
    <row r="98" spans="1:7" x14ac:dyDescent="0.25">
      <c r="A98" s="1">
        <v>0.61875000000000002</v>
      </c>
      <c r="B98" s="2" t="s">
        <v>72</v>
      </c>
      <c r="C98" s="2">
        <v>89</v>
      </c>
      <c r="D98" t="str">
        <f t="shared" si="12"/>
        <v>sel</v>
      </c>
      <c r="E98" t="str">
        <f t="shared" si="10"/>
        <v>lim</v>
      </c>
      <c r="F98" s="5" t="str">
        <f t="shared" si="13"/>
        <v>2000</v>
      </c>
      <c r="G98" s="4" t="str">
        <f t="shared" si="11"/>
        <v>27.6</v>
      </c>
    </row>
    <row r="99" spans="1:7" x14ac:dyDescent="0.25">
      <c r="A99" s="1">
        <v>0.61875000000000002</v>
      </c>
      <c r="B99" s="2" t="s">
        <v>73</v>
      </c>
      <c r="C99" s="2">
        <v>90</v>
      </c>
      <c r="D99" t="str">
        <f t="shared" si="12"/>
        <v>buy</v>
      </c>
      <c r="E99" t="str">
        <f t="shared" si="10"/>
        <v>lim</v>
      </c>
      <c r="F99" s="5" t="str">
        <f t="shared" si="13"/>
        <v>500</v>
      </c>
      <c r="G99" s="4" t="str">
        <f t="shared" si="11"/>
        <v>27.4</v>
      </c>
    </row>
    <row r="100" spans="1:7" x14ac:dyDescent="0.25">
      <c r="A100" s="1">
        <v>0.62013888888888891</v>
      </c>
      <c r="B100" s="2" t="s">
        <v>7</v>
      </c>
      <c r="C100" s="2">
        <v>91</v>
      </c>
      <c r="D100" t="str">
        <f t="shared" si="12"/>
        <v>buy</v>
      </c>
      <c r="E100" t="str">
        <f t="shared" si="10"/>
        <v>mkt</v>
      </c>
      <c r="F100" s="5" t="str">
        <f t="shared" si="13"/>
        <v>200</v>
      </c>
      <c r="G100" s="4" t="str">
        <f t="shared" si="11"/>
        <v/>
      </c>
    </row>
    <row r="101" spans="1:7" x14ac:dyDescent="0.25">
      <c r="A101" s="1">
        <v>0.62222222222222223</v>
      </c>
      <c r="B101" s="2" t="s">
        <v>20</v>
      </c>
      <c r="C101" s="2">
        <v>92</v>
      </c>
      <c r="D101" t="str">
        <f t="shared" si="12"/>
        <v>sel</v>
      </c>
      <c r="E101" t="str">
        <f t="shared" si="10"/>
        <v>mkt</v>
      </c>
      <c r="F101" s="5" t="str">
        <f t="shared" si="13"/>
        <v>100</v>
      </c>
      <c r="G101" s="4" t="str">
        <f t="shared" si="11"/>
        <v/>
      </c>
    </row>
    <row r="102" spans="1:7" x14ac:dyDescent="0.25">
      <c r="A102" s="1">
        <v>0.62222222222222223</v>
      </c>
      <c r="B102" s="2" t="s">
        <v>74</v>
      </c>
      <c r="C102" s="2">
        <v>93</v>
      </c>
      <c r="D102" t="str">
        <f t="shared" si="12"/>
        <v>sell</v>
      </c>
      <c r="E102" t="str">
        <f t="shared" si="10"/>
        <v>lim</v>
      </c>
      <c r="F102" s="5" t="str">
        <f t="shared" si="13"/>
        <v>2000</v>
      </c>
      <c r="G102" s="4" t="str">
        <f t="shared" si="11"/>
        <v>27.6</v>
      </c>
    </row>
    <row r="103" spans="1:7" x14ac:dyDescent="0.25">
      <c r="A103" s="1">
        <v>0.62361111111111112</v>
      </c>
      <c r="B103" s="2" t="s">
        <v>7</v>
      </c>
      <c r="C103" s="2">
        <v>94</v>
      </c>
      <c r="D103" t="str">
        <f t="shared" si="12"/>
        <v>buy</v>
      </c>
      <c r="E103" t="str">
        <f t="shared" si="10"/>
        <v>mkt</v>
      </c>
      <c r="F103" s="5" t="str">
        <f t="shared" si="13"/>
        <v>200</v>
      </c>
      <c r="G103" s="4" t="str">
        <f t="shared" si="11"/>
        <v/>
      </c>
    </row>
    <row r="104" spans="1:7" x14ac:dyDescent="0.25">
      <c r="A104" s="1">
        <v>0.62569444444444444</v>
      </c>
      <c r="B104" s="2" t="s">
        <v>0</v>
      </c>
      <c r="C104" s="2">
        <v>95</v>
      </c>
      <c r="D104" t="str">
        <f t="shared" si="12"/>
        <v>buy</v>
      </c>
      <c r="E104" t="str">
        <f t="shared" si="10"/>
        <v>mkt</v>
      </c>
      <c r="F104" s="5" t="str">
        <f t="shared" si="13"/>
        <v>400</v>
      </c>
      <c r="G104" s="4" t="str">
        <f t="shared" si="11"/>
        <v/>
      </c>
    </row>
    <row r="105" spans="1:7" x14ac:dyDescent="0.25">
      <c r="A105" s="1">
        <v>0.62708333333333333</v>
      </c>
      <c r="B105" s="2" t="s">
        <v>1</v>
      </c>
      <c r="C105" s="2">
        <v>96</v>
      </c>
      <c r="D105" t="str">
        <f t="shared" si="12"/>
        <v>sell</v>
      </c>
      <c r="E105" t="str">
        <f t="shared" si="10"/>
        <v>mkt</v>
      </c>
      <c r="F105" s="5" t="str">
        <f t="shared" si="13"/>
        <v>100</v>
      </c>
      <c r="G105" s="4" t="str">
        <f t="shared" si="11"/>
        <v/>
      </c>
    </row>
    <row r="106" spans="1:7" x14ac:dyDescent="0.25">
      <c r="A106" s="1">
        <v>0.62916666666666665</v>
      </c>
      <c r="B106" s="2" t="s">
        <v>75</v>
      </c>
      <c r="C106" s="2">
        <v>97</v>
      </c>
      <c r="D106" t="str">
        <f t="shared" si="12"/>
        <v>sell</v>
      </c>
      <c r="E106" t="str">
        <f t="shared" si="10"/>
        <v>lim</v>
      </c>
      <c r="F106" s="5" t="str">
        <f t="shared" si="13"/>
        <v>300</v>
      </c>
      <c r="G106" s="4" t="str">
        <f t="shared" si="11"/>
        <v>27.00</v>
      </c>
    </row>
    <row r="107" spans="1:7" x14ac:dyDescent="0.25">
      <c r="A107" s="1">
        <v>0.63055555555555554</v>
      </c>
      <c r="B107" s="2" t="s">
        <v>76</v>
      </c>
      <c r="C107" s="2">
        <v>98</v>
      </c>
      <c r="D107" t="str">
        <f t="shared" si="12"/>
        <v>buy</v>
      </c>
      <c r="E107" t="str">
        <f t="shared" si="10"/>
        <v>lim</v>
      </c>
      <c r="F107" s="5" t="str">
        <f t="shared" si="13"/>
        <v>1500</v>
      </c>
      <c r="G107" s="4" t="str">
        <f t="shared" si="11"/>
        <v>28.00</v>
      </c>
    </row>
  </sheetData>
  <mergeCells count="2">
    <mergeCell ref="A1:C1"/>
    <mergeCell ref="A8:H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7"/>
  <sheetViews>
    <sheetView tabSelected="1" workbookViewId="0">
      <selection activeCell="D11" sqref="D11"/>
    </sheetView>
  </sheetViews>
  <sheetFormatPr defaultRowHeight="15" x14ac:dyDescent="0.25"/>
  <sheetData>
    <row r="1" spans="1:8" x14ac:dyDescent="0.25">
      <c r="A1" s="6" t="s">
        <v>77</v>
      </c>
      <c r="B1" s="6"/>
      <c r="C1" s="6"/>
    </row>
    <row r="2" spans="1:8" x14ac:dyDescent="0.25">
      <c r="A2" t="s">
        <v>23</v>
      </c>
      <c r="B2" t="s">
        <v>25</v>
      </c>
      <c r="C2" t="s">
        <v>26</v>
      </c>
    </row>
    <row r="3" spans="1:8" x14ac:dyDescent="0.25">
      <c r="A3" t="s">
        <v>30</v>
      </c>
      <c r="B3">
        <v>3</v>
      </c>
      <c r="C3">
        <v>27.2</v>
      </c>
    </row>
    <row r="4" spans="1:8" x14ac:dyDescent="0.25">
      <c r="A4" t="s">
        <v>30</v>
      </c>
      <c r="B4">
        <v>600</v>
      </c>
      <c r="C4">
        <v>27</v>
      </c>
    </row>
    <row r="5" spans="1:8" x14ac:dyDescent="0.25">
      <c r="A5" t="s">
        <v>31</v>
      </c>
      <c r="B5">
        <v>4</v>
      </c>
      <c r="C5">
        <v>27.8</v>
      </c>
    </row>
    <row r="6" spans="1:8" x14ac:dyDescent="0.25">
      <c r="A6" t="s">
        <v>31</v>
      </c>
      <c r="B6">
        <v>700</v>
      </c>
      <c r="C6">
        <v>28</v>
      </c>
    </row>
    <row r="8" spans="1:8" x14ac:dyDescent="0.25">
      <c r="A8" s="6" t="s">
        <v>78</v>
      </c>
      <c r="B8" s="6"/>
      <c r="C8" s="6"/>
      <c r="D8" s="6"/>
      <c r="E8" s="6"/>
      <c r="F8" s="6"/>
      <c r="G8" s="6"/>
      <c r="H8" s="6"/>
    </row>
    <row r="9" spans="1:8" x14ac:dyDescent="0.25">
      <c r="A9" t="s">
        <v>21</v>
      </c>
      <c r="B9" t="s">
        <v>22</v>
      </c>
      <c r="C9" t="s">
        <v>29</v>
      </c>
      <c r="D9" t="s">
        <v>23</v>
      </c>
      <c r="E9" t="s">
        <v>24</v>
      </c>
      <c r="F9" t="s">
        <v>25</v>
      </c>
      <c r="G9" t="s">
        <v>26</v>
      </c>
      <c r="H9" t="s">
        <v>27</v>
      </c>
    </row>
    <row r="10" spans="1:8" x14ac:dyDescent="0.25">
      <c r="A10" s="3">
        <v>0.54236111111111118</v>
      </c>
      <c r="B10" t="s">
        <v>120</v>
      </c>
      <c r="C10">
        <v>1</v>
      </c>
      <c r="D10" t="s">
        <v>86</v>
      </c>
      <c r="E10" t="s">
        <v>80</v>
      </c>
      <c r="F10" t="s">
        <v>81</v>
      </c>
      <c r="G10" t="s">
        <v>82</v>
      </c>
    </row>
    <row r="11" spans="1:8" x14ac:dyDescent="0.25">
      <c r="A11" s="3">
        <v>0.54305555555555551</v>
      </c>
      <c r="B11" t="s">
        <v>0</v>
      </c>
      <c r="C11">
        <v>2</v>
      </c>
      <c r="D11" t="s">
        <v>79</v>
      </c>
      <c r="E11" t="s">
        <v>83</v>
      </c>
      <c r="F11" t="s">
        <v>84</v>
      </c>
      <c r="G11" t="s">
        <v>85</v>
      </c>
    </row>
    <row r="12" spans="1:8" x14ac:dyDescent="0.25">
      <c r="A12" s="3">
        <v>0.54375000000000007</v>
      </c>
      <c r="B12" t="s">
        <v>1</v>
      </c>
      <c r="C12">
        <v>3</v>
      </c>
      <c r="D12" t="s">
        <v>86</v>
      </c>
      <c r="E12" t="s">
        <v>83</v>
      </c>
      <c r="F12" t="s">
        <v>87</v>
      </c>
      <c r="G12" t="s">
        <v>85</v>
      </c>
    </row>
    <row r="13" spans="1:8" x14ac:dyDescent="0.25">
      <c r="A13" s="3">
        <v>0.5444444444444444</v>
      </c>
      <c r="B13" t="s">
        <v>0</v>
      </c>
      <c r="C13">
        <v>4</v>
      </c>
      <c r="D13" t="s">
        <v>79</v>
      </c>
      <c r="E13" t="s">
        <v>83</v>
      </c>
      <c r="F13" t="s">
        <v>84</v>
      </c>
      <c r="G13" t="s">
        <v>85</v>
      </c>
    </row>
    <row r="14" spans="1:8" x14ac:dyDescent="0.25">
      <c r="A14" s="3">
        <v>0.54583333333333328</v>
      </c>
      <c r="B14" t="s">
        <v>32</v>
      </c>
      <c r="C14">
        <v>5</v>
      </c>
      <c r="D14" t="s">
        <v>79</v>
      </c>
      <c r="E14" t="s">
        <v>80</v>
      </c>
      <c r="F14" t="s">
        <v>88</v>
      </c>
      <c r="G14" t="s">
        <v>89</v>
      </c>
    </row>
    <row r="15" spans="1:8" x14ac:dyDescent="0.25">
      <c r="A15" s="3">
        <v>0.54583333333333328</v>
      </c>
      <c r="B15" t="s">
        <v>33</v>
      </c>
      <c r="C15">
        <v>6</v>
      </c>
      <c r="D15" t="s">
        <v>86</v>
      </c>
      <c r="E15" t="s">
        <v>80</v>
      </c>
      <c r="F15" t="s">
        <v>84</v>
      </c>
      <c r="G15" t="s">
        <v>90</v>
      </c>
    </row>
    <row r="16" spans="1:8" x14ac:dyDescent="0.25">
      <c r="A16" s="3">
        <v>0.54583333333333328</v>
      </c>
      <c r="B16" t="s">
        <v>34</v>
      </c>
      <c r="C16">
        <v>7</v>
      </c>
      <c r="D16" t="s">
        <v>86</v>
      </c>
      <c r="E16" t="s">
        <v>83</v>
      </c>
      <c r="F16" t="s">
        <v>87</v>
      </c>
      <c r="G16" t="s">
        <v>91</v>
      </c>
      <c r="H16" t="s">
        <v>28</v>
      </c>
    </row>
    <row r="17" spans="1:7" x14ac:dyDescent="0.25">
      <c r="A17" s="3">
        <v>0.54583333333333328</v>
      </c>
      <c r="B17" t="s">
        <v>35</v>
      </c>
      <c r="C17">
        <v>8</v>
      </c>
      <c r="D17" t="s">
        <v>79</v>
      </c>
      <c r="E17" t="s">
        <v>80</v>
      </c>
      <c r="F17" t="s">
        <v>81</v>
      </c>
      <c r="G17" t="s">
        <v>92</v>
      </c>
    </row>
    <row r="18" spans="1:7" x14ac:dyDescent="0.25">
      <c r="A18" s="3">
        <v>0.54583333333333328</v>
      </c>
      <c r="B18" t="s">
        <v>2</v>
      </c>
      <c r="C18">
        <v>9</v>
      </c>
      <c r="D18" t="s">
        <v>86</v>
      </c>
      <c r="E18" t="s">
        <v>83</v>
      </c>
      <c r="F18" t="s">
        <v>88</v>
      </c>
      <c r="G18" t="s">
        <v>85</v>
      </c>
    </row>
    <row r="19" spans="1:7" x14ac:dyDescent="0.25">
      <c r="A19" s="3">
        <v>0.54722222222222217</v>
      </c>
      <c r="B19" t="s">
        <v>36</v>
      </c>
      <c r="C19">
        <v>10</v>
      </c>
      <c r="D19" t="s">
        <v>79</v>
      </c>
      <c r="E19" t="s">
        <v>80</v>
      </c>
      <c r="F19" t="s">
        <v>87</v>
      </c>
      <c r="G19" t="s">
        <v>93</v>
      </c>
    </row>
    <row r="20" spans="1:7" x14ac:dyDescent="0.25">
      <c r="A20" s="3">
        <v>0.54722222222222217</v>
      </c>
      <c r="B20" t="s">
        <v>37</v>
      </c>
      <c r="C20">
        <v>11</v>
      </c>
      <c r="D20" t="s">
        <v>94</v>
      </c>
      <c r="E20" t="s">
        <v>80</v>
      </c>
      <c r="F20" t="s">
        <v>95</v>
      </c>
      <c r="G20" t="s">
        <v>96</v>
      </c>
    </row>
    <row r="21" spans="1:7" x14ac:dyDescent="0.25">
      <c r="A21" s="3">
        <v>0.54791666666666672</v>
      </c>
      <c r="B21" t="s">
        <v>3</v>
      </c>
      <c r="C21">
        <v>12</v>
      </c>
      <c r="D21" t="s">
        <v>86</v>
      </c>
      <c r="E21" t="s">
        <v>83</v>
      </c>
      <c r="F21" t="s">
        <v>95</v>
      </c>
      <c r="G21" t="s">
        <v>85</v>
      </c>
    </row>
    <row r="22" spans="1:7" x14ac:dyDescent="0.25">
      <c r="A22" s="3">
        <v>0.54861111111111105</v>
      </c>
      <c r="B22" t="s">
        <v>38</v>
      </c>
      <c r="C22">
        <v>13</v>
      </c>
      <c r="D22" t="s">
        <v>79</v>
      </c>
      <c r="E22" t="s">
        <v>80</v>
      </c>
      <c r="F22" t="s">
        <v>95</v>
      </c>
      <c r="G22" t="s">
        <v>89</v>
      </c>
    </row>
    <row r="23" spans="1:7" x14ac:dyDescent="0.25">
      <c r="A23" s="3">
        <v>0.54861111111111105</v>
      </c>
      <c r="B23" t="s">
        <v>39</v>
      </c>
      <c r="C23">
        <v>14</v>
      </c>
      <c r="D23" t="s">
        <v>79</v>
      </c>
      <c r="E23" t="s">
        <v>80</v>
      </c>
      <c r="F23" t="s">
        <v>84</v>
      </c>
      <c r="G23" t="s">
        <v>97</v>
      </c>
    </row>
    <row r="24" spans="1:7" x14ac:dyDescent="0.25">
      <c r="A24" s="3">
        <v>0.54861111111111105</v>
      </c>
      <c r="B24" t="s">
        <v>4</v>
      </c>
      <c r="C24">
        <v>15</v>
      </c>
      <c r="D24" t="s">
        <v>86</v>
      </c>
      <c r="E24" t="s">
        <v>83</v>
      </c>
      <c r="F24" t="s">
        <v>98</v>
      </c>
      <c r="G24" t="s">
        <v>85</v>
      </c>
    </row>
    <row r="25" spans="1:7" x14ac:dyDescent="0.25">
      <c r="A25" s="3">
        <v>0.54999999999999993</v>
      </c>
      <c r="B25" t="s">
        <v>40</v>
      </c>
      <c r="C25">
        <v>16</v>
      </c>
      <c r="D25" t="s">
        <v>94</v>
      </c>
      <c r="E25" t="s">
        <v>80</v>
      </c>
      <c r="F25" t="s">
        <v>95</v>
      </c>
      <c r="G25" t="s">
        <v>99</v>
      </c>
    </row>
    <row r="26" spans="1:7" x14ac:dyDescent="0.25">
      <c r="A26" s="3">
        <v>0.54999999999999993</v>
      </c>
      <c r="B26" t="s">
        <v>41</v>
      </c>
      <c r="C26">
        <v>17</v>
      </c>
      <c r="D26" t="s">
        <v>94</v>
      </c>
      <c r="E26" t="s">
        <v>80</v>
      </c>
      <c r="F26" t="s">
        <v>81</v>
      </c>
      <c r="G26" t="s">
        <v>96</v>
      </c>
    </row>
    <row r="27" spans="1:7" x14ac:dyDescent="0.25">
      <c r="A27" s="3">
        <v>0.54999999999999993</v>
      </c>
      <c r="B27" t="s">
        <v>5</v>
      </c>
      <c r="C27">
        <v>18</v>
      </c>
      <c r="D27" t="s">
        <v>86</v>
      </c>
      <c r="E27" t="s">
        <v>83</v>
      </c>
      <c r="F27" t="s">
        <v>100</v>
      </c>
      <c r="G27" t="s">
        <v>85</v>
      </c>
    </row>
    <row r="28" spans="1:7" x14ac:dyDescent="0.25">
      <c r="A28" s="3">
        <v>0.55208333333333337</v>
      </c>
      <c r="B28" t="s">
        <v>42</v>
      </c>
      <c r="C28">
        <v>19</v>
      </c>
      <c r="D28" t="s">
        <v>86</v>
      </c>
      <c r="E28" t="s">
        <v>80</v>
      </c>
      <c r="F28" t="s">
        <v>81</v>
      </c>
      <c r="G28" t="s">
        <v>89</v>
      </c>
    </row>
    <row r="29" spans="1:7" x14ac:dyDescent="0.25">
      <c r="A29" s="3">
        <v>0.55208333333333337</v>
      </c>
      <c r="B29" t="s">
        <v>43</v>
      </c>
      <c r="C29">
        <v>20</v>
      </c>
      <c r="D29" t="s">
        <v>79</v>
      </c>
      <c r="E29" t="s">
        <v>80</v>
      </c>
      <c r="F29" t="s">
        <v>87</v>
      </c>
      <c r="G29" t="s">
        <v>92</v>
      </c>
    </row>
    <row r="30" spans="1:7" x14ac:dyDescent="0.25">
      <c r="A30" s="3">
        <v>0.55208333333333337</v>
      </c>
      <c r="B30" t="s">
        <v>6</v>
      </c>
      <c r="C30">
        <v>21</v>
      </c>
      <c r="D30" t="s">
        <v>79</v>
      </c>
      <c r="E30" t="s">
        <v>83</v>
      </c>
      <c r="F30" t="s">
        <v>81</v>
      </c>
      <c r="G30" t="s">
        <v>85</v>
      </c>
    </row>
    <row r="31" spans="1:7" x14ac:dyDescent="0.25">
      <c r="A31" s="3">
        <v>0.55277777777777781</v>
      </c>
      <c r="B31" t="s">
        <v>44</v>
      </c>
      <c r="C31">
        <v>22</v>
      </c>
      <c r="D31" t="s">
        <v>86</v>
      </c>
      <c r="E31" t="s">
        <v>80</v>
      </c>
      <c r="F31" t="s">
        <v>87</v>
      </c>
      <c r="G31" t="s">
        <v>101</v>
      </c>
    </row>
    <row r="32" spans="1:7" x14ac:dyDescent="0.25">
      <c r="A32" s="3">
        <v>0.55347222222222225</v>
      </c>
      <c r="B32" t="s">
        <v>45</v>
      </c>
      <c r="C32">
        <v>23</v>
      </c>
      <c r="D32" t="s">
        <v>79</v>
      </c>
      <c r="E32" t="s">
        <v>80</v>
      </c>
      <c r="F32" t="s">
        <v>81</v>
      </c>
      <c r="G32" t="s">
        <v>102</v>
      </c>
    </row>
    <row r="33" spans="1:7" x14ac:dyDescent="0.25">
      <c r="A33" s="3">
        <v>0.55347222222222225</v>
      </c>
      <c r="B33" t="s">
        <v>46</v>
      </c>
      <c r="C33">
        <v>24</v>
      </c>
      <c r="D33" t="s">
        <v>79</v>
      </c>
      <c r="E33" t="s">
        <v>80</v>
      </c>
      <c r="F33" t="s">
        <v>95</v>
      </c>
      <c r="G33" t="s">
        <v>96</v>
      </c>
    </row>
    <row r="34" spans="1:7" x14ac:dyDescent="0.25">
      <c r="A34" s="3">
        <v>0.55486111111111114</v>
      </c>
      <c r="B34" t="s">
        <v>47</v>
      </c>
      <c r="C34">
        <v>25</v>
      </c>
      <c r="D34" t="s">
        <v>86</v>
      </c>
      <c r="E34" t="s">
        <v>80</v>
      </c>
      <c r="F34" t="s">
        <v>84</v>
      </c>
      <c r="G34" t="s">
        <v>103</v>
      </c>
    </row>
    <row r="35" spans="1:7" x14ac:dyDescent="0.25">
      <c r="A35" s="3">
        <v>0.55625000000000002</v>
      </c>
      <c r="B35" t="s">
        <v>48</v>
      </c>
      <c r="C35">
        <v>26</v>
      </c>
      <c r="D35" t="s">
        <v>79</v>
      </c>
      <c r="E35" t="s">
        <v>80</v>
      </c>
      <c r="F35" t="s">
        <v>84</v>
      </c>
      <c r="G35" t="s">
        <v>102</v>
      </c>
    </row>
    <row r="36" spans="1:7" x14ac:dyDescent="0.25">
      <c r="A36" s="3">
        <v>0.55763888888888891</v>
      </c>
      <c r="B36" t="s">
        <v>1</v>
      </c>
      <c r="C36">
        <v>27</v>
      </c>
      <c r="D36" t="s">
        <v>86</v>
      </c>
      <c r="E36" t="s">
        <v>83</v>
      </c>
      <c r="F36" t="s">
        <v>87</v>
      </c>
      <c r="G36" t="s">
        <v>85</v>
      </c>
    </row>
    <row r="37" spans="1:7" x14ac:dyDescent="0.25">
      <c r="A37" s="3">
        <v>0.55763888888888891</v>
      </c>
      <c r="B37" t="s">
        <v>49</v>
      </c>
      <c r="C37">
        <v>28</v>
      </c>
      <c r="D37" t="s">
        <v>79</v>
      </c>
      <c r="E37" t="s">
        <v>80</v>
      </c>
      <c r="F37" t="s">
        <v>84</v>
      </c>
      <c r="G37" t="s">
        <v>104</v>
      </c>
    </row>
    <row r="38" spans="1:7" x14ac:dyDescent="0.25">
      <c r="A38" s="3">
        <v>0.55763888888888891</v>
      </c>
      <c r="B38" t="s">
        <v>50</v>
      </c>
      <c r="C38">
        <v>29</v>
      </c>
      <c r="D38" t="s">
        <v>86</v>
      </c>
      <c r="E38" t="s">
        <v>80</v>
      </c>
      <c r="F38" t="s">
        <v>95</v>
      </c>
      <c r="G38" t="s">
        <v>90</v>
      </c>
    </row>
    <row r="39" spans="1:7" x14ac:dyDescent="0.25">
      <c r="A39" s="3">
        <v>0.55833333333333335</v>
      </c>
      <c r="B39" t="s">
        <v>7</v>
      </c>
      <c r="C39">
        <v>30</v>
      </c>
      <c r="D39" t="s">
        <v>79</v>
      </c>
      <c r="E39" t="s">
        <v>83</v>
      </c>
      <c r="F39" t="s">
        <v>95</v>
      </c>
      <c r="G39" t="s">
        <v>85</v>
      </c>
    </row>
    <row r="40" spans="1:7" x14ac:dyDescent="0.25">
      <c r="A40" s="3">
        <v>0.55902777777777779</v>
      </c>
      <c r="B40" t="s">
        <v>47</v>
      </c>
      <c r="C40">
        <v>31</v>
      </c>
      <c r="D40" t="s">
        <v>86</v>
      </c>
      <c r="E40" t="s">
        <v>80</v>
      </c>
      <c r="F40" t="s">
        <v>84</v>
      </c>
      <c r="G40" t="s">
        <v>103</v>
      </c>
    </row>
    <row r="41" spans="1:7" x14ac:dyDescent="0.25">
      <c r="A41" s="3">
        <v>0.56041666666666667</v>
      </c>
      <c r="B41" t="s">
        <v>8</v>
      </c>
      <c r="C41">
        <v>32</v>
      </c>
      <c r="D41" t="s">
        <v>79</v>
      </c>
      <c r="E41" t="s">
        <v>83</v>
      </c>
      <c r="F41" t="s">
        <v>105</v>
      </c>
      <c r="G41" t="s">
        <v>85</v>
      </c>
    </row>
    <row r="42" spans="1:7" x14ac:dyDescent="0.25">
      <c r="A42" s="3">
        <v>0.56111111111111112</v>
      </c>
      <c r="B42" t="s">
        <v>9</v>
      </c>
      <c r="C42">
        <v>33</v>
      </c>
      <c r="D42" t="s">
        <v>86</v>
      </c>
      <c r="E42" t="s">
        <v>83</v>
      </c>
      <c r="F42" t="s">
        <v>105</v>
      </c>
      <c r="G42" t="s">
        <v>85</v>
      </c>
    </row>
    <row r="43" spans="1:7" x14ac:dyDescent="0.25">
      <c r="A43" s="3">
        <v>0.56111111111111112</v>
      </c>
      <c r="B43" t="s">
        <v>51</v>
      </c>
      <c r="C43">
        <v>34</v>
      </c>
      <c r="D43" t="s">
        <v>79</v>
      </c>
      <c r="E43" t="s">
        <v>80</v>
      </c>
      <c r="F43" t="s">
        <v>95</v>
      </c>
      <c r="G43" t="s">
        <v>90</v>
      </c>
    </row>
    <row r="44" spans="1:7" x14ac:dyDescent="0.25">
      <c r="A44" s="3">
        <v>0.56180555555555556</v>
      </c>
      <c r="B44" t="s">
        <v>47</v>
      </c>
      <c r="C44">
        <v>35</v>
      </c>
      <c r="D44" t="s">
        <v>86</v>
      </c>
      <c r="E44" t="s">
        <v>80</v>
      </c>
      <c r="F44" t="s">
        <v>84</v>
      </c>
      <c r="G44" t="s">
        <v>103</v>
      </c>
    </row>
    <row r="45" spans="1:7" x14ac:dyDescent="0.25">
      <c r="A45" s="3">
        <v>0.5625</v>
      </c>
      <c r="B45" t="s">
        <v>7</v>
      </c>
      <c r="C45">
        <v>36</v>
      </c>
      <c r="D45" t="s">
        <v>79</v>
      </c>
      <c r="E45" t="s">
        <v>83</v>
      </c>
      <c r="F45" t="s">
        <v>95</v>
      </c>
      <c r="G45" t="s">
        <v>85</v>
      </c>
    </row>
    <row r="46" spans="1:7" x14ac:dyDescent="0.25">
      <c r="A46" s="3">
        <v>0.56388888888888888</v>
      </c>
      <c r="B46" t="s">
        <v>52</v>
      </c>
      <c r="C46">
        <v>37</v>
      </c>
      <c r="D46" t="s">
        <v>106</v>
      </c>
      <c r="E46" t="s">
        <v>80</v>
      </c>
      <c r="F46" t="s">
        <v>81</v>
      </c>
      <c r="G46" t="s">
        <v>107</v>
      </c>
    </row>
    <row r="47" spans="1:7" x14ac:dyDescent="0.25">
      <c r="A47" s="3">
        <v>0.56388888888888888</v>
      </c>
      <c r="B47" t="s">
        <v>53</v>
      </c>
      <c r="C47">
        <v>38</v>
      </c>
      <c r="D47" t="s">
        <v>79</v>
      </c>
      <c r="E47" t="s">
        <v>80</v>
      </c>
      <c r="F47" t="s">
        <v>84</v>
      </c>
      <c r="G47" t="s">
        <v>108</v>
      </c>
    </row>
    <row r="48" spans="1:7" x14ac:dyDescent="0.25">
      <c r="A48" s="3">
        <v>0.56388888888888888</v>
      </c>
      <c r="B48" t="s">
        <v>54</v>
      </c>
      <c r="C48">
        <v>39</v>
      </c>
      <c r="D48" t="s">
        <v>79</v>
      </c>
      <c r="E48" t="s">
        <v>80</v>
      </c>
      <c r="F48" t="s">
        <v>81</v>
      </c>
      <c r="G48" t="s">
        <v>109</v>
      </c>
    </row>
    <row r="49" spans="1:7" x14ac:dyDescent="0.25">
      <c r="A49" s="3">
        <v>0.56458333333333333</v>
      </c>
      <c r="B49" t="s">
        <v>2</v>
      </c>
      <c r="C49">
        <v>40</v>
      </c>
      <c r="D49" t="s">
        <v>86</v>
      </c>
      <c r="E49" t="s">
        <v>83</v>
      </c>
      <c r="F49" t="s">
        <v>88</v>
      </c>
      <c r="G49" t="s">
        <v>85</v>
      </c>
    </row>
    <row r="50" spans="1:7" x14ac:dyDescent="0.25">
      <c r="A50" s="3">
        <v>0.56597222222222221</v>
      </c>
      <c r="B50" t="s">
        <v>47</v>
      </c>
      <c r="C50">
        <v>41</v>
      </c>
      <c r="D50" t="s">
        <v>86</v>
      </c>
      <c r="E50" t="s">
        <v>80</v>
      </c>
      <c r="F50" t="s">
        <v>84</v>
      </c>
      <c r="G50" t="s">
        <v>103</v>
      </c>
    </row>
    <row r="51" spans="1:7" x14ac:dyDescent="0.25">
      <c r="A51" s="3">
        <v>0.56597222222222221</v>
      </c>
      <c r="B51" t="s">
        <v>10</v>
      </c>
      <c r="C51">
        <v>42</v>
      </c>
      <c r="D51" t="s">
        <v>79</v>
      </c>
      <c r="E51" t="s">
        <v>83</v>
      </c>
      <c r="F51" t="s">
        <v>110</v>
      </c>
      <c r="G51" t="s">
        <v>85</v>
      </c>
    </row>
    <row r="52" spans="1:7" x14ac:dyDescent="0.25">
      <c r="A52" s="3">
        <v>0.56736111111111109</v>
      </c>
      <c r="B52" t="s">
        <v>11</v>
      </c>
      <c r="C52">
        <v>43</v>
      </c>
      <c r="D52" t="s">
        <v>86</v>
      </c>
      <c r="E52" t="s">
        <v>83</v>
      </c>
      <c r="F52" t="s">
        <v>81</v>
      </c>
      <c r="G52" t="s">
        <v>85</v>
      </c>
    </row>
    <row r="53" spans="1:7" x14ac:dyDescent="0.25">
      <c r="A53" s="3">
        <v>0.56736111111111109</v>
      </c>
      <c r="B53" t="s">
        <v>51</v>
      </c>
      <c r="C53">
        <v>44</v>
      </c>
      <c r="D53" t="s">
        <v>79</v>
      </c>
      <c r="E53" t="s">
        <v>80</v>
      </c>
      <c r="F53" t="s">
        <v>95</v>
      </c>
      <c r="G53" t="s">
        <v>90</v>
      </c>
    </row>
    <row r="54" spans="1:7" x14ac:dyDescent="0.25">
      <c r="A54" s="3">
        <v>0.56805555555555554</v>
      </c>
      <c r="B54" t="s">
        <v>55</v>
      </c>
      <c r="C54">
        <v>45</v>
      </c>
      <c r="D54" t="s">
        <v>86</v>
      </c>
      <c r="E54" t="s">
        <v>80</v>
      </c>
      <c r="F54" t="s">
        <v>84</v>
      </c>
      <c r="G54" t="s">
        <v>111</v>
      </c>
    </row>
    <row r="55" spans="1:7" x14ac:dyDescent="0.25">
      <c r="A55" s="3">
        <v>0.57013888888888886</v>
      </c>
      <c r="B55" t="s">
        <v>7</v>
      </c>
      <c r="C55">
        <v>46</v>
      </c>
      <c r="D55" t="s">
        <v>79</v>
      </c>
      <c r="E55" t="s">
        <v>83</v>
      </c>
      <c r="F55" t="s">
        <v>95</v>
      </c>
      <c r="G55" t="s">
        <v>85</v>
      </c>
    </row>
    <row r="56" spans="1:7" x14ac:dyDescent="0.25">
      <c r="A56" s="3">
        <v>0.57013888888888886</v>
      </c>
      <c r="B56" t="s">
        <v>56</v>
      </c>
      <c r="C56">
        <v>47</v>
      </c>
      <c r="D56" t="s">
        <v>86</v>
      </c>
      <c r="E56" t="s">
        <v>80</v>
      </c>
      <c r="F56" t="s">
        <v>84</v>
      </c>
      <c r="G56" t="s">
        <v>96</v>
      </c>
    </row>
    <row r="57" spans="1:7" x14ac:dyDescent="0.25">
      <c r="A57" s="3">
        <v>0.57013888888888886</v>
      </c>
      <c r="B57" t="s">
        <v>12</v>
      </c>
      <c r="C57">
        <v>48</v>
      </c>
      <c r="D57" t="s">
        <v>79</v>
      </c>
      <c r="E57" t="s">
        <v>83</v>
      </c>
      <c r="F57" t="s">
        <v>98</v>
      </c>
      <c r="G57" t="s">
        <v>85</v>
      </c>
    </row>
    <row r="58" spans="1:7" x14ac:dyDescent="0.25">
      <c r="A58" s="3">
        <v>0.57013888888888886</v>
      </c>
      <c r="B58" t="s">
        <v>57</v>
      </c>
      <c r="C58">
        <v>49</v>
      </c>
      <c r="D58" t="s">
        <v>79</v>
      </c>
      <c r="E58" t="s">
        <v>112</v>
      </c>
      <c r="F58" t="s">
        <v>84</v>
      </c>
      <c r="G58" t="s">
        <v>85</v>
      </c>
    </row>
    <row r="59" spans="1:7" x14ac:dyDescent="0.25">
      <c r="A59" s="3">
        <v>0.57152777777777775</v>
      </c>
      <c r="B59" t="s">
        <v>58</v>
      </c>
      <c r="C59">
        <v>50</v>
      </c>
      <c r="D59" t="s">
        <v>86</v>
      </c>
      <c r="E59" t="s">
        <v>80</v>
      </c>
      <c r="F59" t="s">
        <v>98</v>
      </c>
      <c r="G59" t="s">
        <v>104</v>
      </c>
    </row>
    <row r="60" spans="1:7" x14ac:dyDescent="0.25">
      <c r="A60" s="3">
        <v>0.57291666666666663</v>
      </c>
      <c r="B60" t="s">
        <v>13</v>
      </c>
      <c r="C60">
        <v>51</v>
      </c>
      <c r="D60" t="s">
        <v>79</v>
      </c>
      <c r="E60" t="s">
        <v>83</v>
      </c>
      <c r="F60" t="s">
        <v>100</v>
      </c>
      <c r="G60" t="s">
        <v>85</v>
      </c>
    </row>
    <row r="61" spans="1:7" x14ac:dyDescent="0.25">
      <c r="A61" s="3">
        <v>0.57500000000000007</v>
      </c>
      <c r="B61" t="s">
        <v>1</v>
      </c>
      <c r="C61">
        <v>52</v>
      </c>
      <c r="D61" t="s">
        <v>86</v>
      </c>
      <c r="E61" t="s">
        <v>83</v>
      </c>
      <c r="F61" t="s">
        <v>87</v>
      </c>
      <c r="G61" t="s">
        <v>85</v>
      </c>
    </row>
    <row r="62" spans="1:7" x14ac:dyDescent="0.25">
      <c r="A62" s="3">
        <v>0.57500000000000007</v>
      </c>
      <c r="B62" t="s">
        <v>59</v>
      </c>
      <c r="C62">
        <v>53</v>
      </c>
      <c r="D62" t="s">
        <v>79</v>
      </c>
      <c r="E62" t="s">
        <v>80</v>
      </c>
      <c r="F62" t="s">
        <v>81</v>
      </c>
      <c r="G62" t="s">
        <v>90</v>
      </c>
    </row>
    <row r="63" spans="1:7" x14ac:dyDescent="0.25">
      <c r="A63" s="3">
        <v>0.57500000000000007</v>
      </c>
      <c r="B63" t="s">
        <v>60</v>
      </c>
      <c r="C63">
        <v>54</v>
      </c>
      <c r="D63" t="s">
        <v>86</v>
      </c>
      <c r="E63" t="s">
        <v>80</v>
      </c>
      <c r="F63" t="s">
        <v>88</v>
      </c>
      <c r="G63" t="s">
        <v>99</v>
      </c>
    </row>
    <row r="64" spans="1:7" x14ac:dyDescent="0.25">
      <c r="A64" s="3">
        <v>0.57708333333333328</v>
      </c>
      <c r="B64" t="s">
        <v>61</v>
      </c>
      <c r="C64">
        <v>55</v>
      </c>
      <c r="D64" t="s">
        <v>79</v>
      </c>
      <c r="E64" t="s">
        <v>80</v>
      </c>
      <c r="F64" t="s">
        <v>100</v>
      </c>
      <c r="G64" t="s">
        <v>89</v>
      </c>
    </row>
    <row r="65" spans="1:7" x14ac:dyDescent="0.25">
      <c r="A65" s="3">
        <v>0.57916666666666672</v>
      </c>
      <c r="B65" t="s">
        <v>50</v>
      </c>
      <c r="C65">
        <v>56</v>
      </c>
      <c r="D65" t="s">
        <v>86</v>
      </c>
      <c r="E65" t="s">
        <v>80</v>
      </c>
      <c r="F65" t="s">
        <v>95</v>
      </c>
      <c r="G65" t="s">
        <v>90</v>
      </c>
    </row>
    <row r="66" spans="1:7" x14ac:dyDescent="0.25">
      <c r="A66" s="3">
        <v>0.57916666666666672</v>
      </c>
      <c r="B66" t="s">
        <v>1</v>
      </c>
      <c r="C66">
        <v>57</v>
      </c>
      <c r="D66" t="s">
        <v>86</v>
      </c>
      <c r="E66" t="s">
        <v>83</v>
      </c>
      <c r="F66" t="s">
        <v>87</v>
      </c>
      <c r="G66" t="s">
        <v>85</v>
      </c>
    </row>
    <row r="67" spans="1:7" x14ac:dyDescent="0.25">
      <c r="A67" s="3">
        <v>0.5805555555555556</v>
      </c>
      <c r="B67" t="s">
        <v>62</v>
      </c>
      <c r="C67">
        <v>58</v>
      </c>
      <c r="D67" t="s">
        <v>79</v>
      </c>
      <c r="E67" t="s">
        <v>80</v>
      </c>
      <c r="F67" t="s">
        <v>95</v>
      </c>
      <c r="G67" t="s">
        <v>104</v>
      </c>
    </row>
    <row r="68" spans="1:7" x14ac:dyDescent="0.25">
      <c r="A68" s="3">
        <v>0.5805555555555556</v>
      </c>
      <c r="B68" t="s">
        <v>63</v>
      </c>
      <c r="C68">
        <v>59</v>
      </c>
      <c r="D68" t="s">
        <v>79</v>
      </c>
      <c r="E68" t="s">
        <v>80</v>
      </c>
      <c r="F68" t="s">
        <v>95</v>
      </c>
      <c r="G68" t="s">
        <v>113</v>
      </c>
    </row>
    <row r="69" spans="1:7" x14ac:dyDescent="0.25">
      <c r="A69" s="3">
        <v>0.58194444444444449</v>
      </c>
      <c r="B69" t="s">
        <v>3</v>
      </c>
      <c r="C69">
        <v>60</v>
      </c>
      <c r="D69" t="s">
        <v>86</v>
      </c>
      <c r="E69" t="s">
        <v>83</v>
      </c>
      <c r="F69" t="s">
        <v>95</v>
      </c>
      <c r="G69" t="s">
        <v>85</v>
      </c>
    </row>
    <row r="70" spans="1:7" x14ac:dyDescent="0.25">
      <c r="A70" s="3">
        <v>0.58402777777777781</v>
      </c>
      <c r="B70" t="s">
        <v>1</v>
      </c>
      <c r="C70">
        <v>61</v>
      </c>
      <c r="D70" t="s">
        <v>86</v>
      </c>
      <c r="E70" t="s">
        <v>83</v>
      </c>
      <c r="F70" t="s">
        <v>87</v>
      </c>
      <c r="G70" t="s">
        <v>85</v>
      </c>
    </row>
    <row r="71" spans="1:7" x14ac:dyDescent="0.25">
      <c r="A71" s="3">
        <v>0.58611111111111114</v>
      </c>
      <c r="B71" t="s">
        <v>14</v>
      </c>
      <c r="C71">
        <v>62</v>
      </c>
      <c r="D71" t="s">
        <v>79</v>
      </c>
      <c r="E71" t="s">
        <v>83</v>
      </c>
      <c r="F71" t="s">
        <v>87</v>
      </c>
      <c r="G71" t="s">
        <v>85</v>
      </c>
    </row>
    <row r="72" spans="1:7" x14ac:dyDescent="0.25">
      <c r="A72" s="3">
        <v>0.58680555555555558</v>
      </c>
      <c r="B72" t="s">
        <v>51</v>
      </c>
      <c r="C72">
        <v>63</v>
      </c>
      <c r="D72" t="s">
        <v>79</v>
      </c>
      <c r="E72" t="s">
        <v>80</v>
      </c>
      <c r="F72" t="s">
        <v>95</v>
      </c>
      <c r="G72" t="s">
        <v>90</v>
      </c>
    </row>
    <row r="73" spans="1:7" x14ac:dyDescent="0.25">
      <c r="A73" s="3">
        <v>0.58680555555555558</v>
      </c>
      <c r="B73" t="s">
        <v>49</v>
      </c>
      <c r="C73">
        <v>64</v>
      </c>
      <c r="D73" t="s">
        <v>79</v>
      </c>
      <c r="E73" t="s">
        <v>80</v>
      </c>
      <c r="F73" t="s">
        <v>84</v>
      </c>
      <c r="G73" t="s">
        <v>104</v>
      </c>
    </row>
    <row r="74" spans="1:7" x14ac:dyDescent="0.25">
      <c r="A74" s="3">
        <v>0.58680555555555558</v>
      </c>
      <c r="B74" t="s">
        <v>15</v>
      </c>
      <c r="C74">
        <v>65</v>
      </c>
      <c r="D74" t="s">
        <v>86</v>
      </c>
      <c r="E74" t="s">
        <v>83</v>
      </c>
      <c r="F74" t="s">
        <v>114</v>
      </c>
      <c r="G74" t="s">
        <v>85</v>
      </c>
    </row>
    <row r="75" spans="1:7" x14ac:dyDescent="0.25">
      <c r="A75" s="3">
        <v>0.59027777777777779</v>
      </c>
      <c r="B75" t="s">
        <v>33</v>
      </c>
      <c r="C75">
        <v>66</v>
      </c>
      <c r="D75" t="s">
        <v>86</v>
      </c>
      <c r="E75" t="s">
        <v>80</v>
      </c>
      <c r="F75" t="s">
        <v>84</v>
      </c>
      <c r="G75" t="s">
        <v>90</v>
      </c>
    </row>
    <row r="76" spans="1:7" x14ac:dyDescent="0.25">
      <c r="A76" s="3">
        <v>0.59027777777777779</v>
      </c>
      <c r="B76" t="s">
        <v>64</v>
      </c>
      <c r="C76">
        <v>67</v>
      </c>
      <c r="D76" t="s">
        <v>79</v>
      </c>
      <c r="E76" t="s">
        <v>80</v>
      </c>
      <c r="F76" t="s">
        <v>81</v>
      </c>
      <c r="G76" t="s">
        <v>104</v>
      </c>
    </row>
    <row r="77" spans="1:7" x14ac:dyDescent="0.25">
      <c r="A77" s="3">
        <v>0.59027777777777779</v>
      </c>
      <c r="B77" t="s">
        <v>65</v>
      </c>
      <c r="C77">
        <v>68</v>
      </c>
      <c r="D77" t="s">
        <v>86</v>
      </c>
      <c r="E77" t="s">
        <v>80</v>
      </c>
      <c r="F77" t="s">
        <v>84</v>
      </c>
      <c r="G77" t="s">
        <v>99</v>
      </c>
    </row>
    <row r="78" spans="1:7" x14ac:dyDescent="0.25">
      <c r="A78" s="3">
        <v>0.59027777777777779</v>
      </c>
      <c r="B78" t="s">
        <v>66</v>
      </c>
      <c r="C78">
        <v>69</v>
      </c>
      <c r="D78" t="s">
        <v>86</v>
      </c>
      <c r="E78" t="s">
        <v>80</v>
      </c>
      <c r="F78" t="s">
        <v>100</v>
      </c>
      <c r="G78" t="s">
        <v>115</v>
      </c>
    </row>
    <row r="79" spans="1:7" x14ac:dyDescent="0.25">
      <c r="A79" s="3">
        <v>0.59027777777777779</v>
      </c>
      <c r="B79" t="s">
        <v>16</v>
      </c>
      <c r="C79">
        <v>70</v>
      </c>
      <c r="D79" t="s">
        <v>79</v>
      </c>
      <c r="E79" t="s">
        <v>83</v>
      </c>
      <c r="F79" t="s">
        <v>116</v>
      </c>
      <c r="G79" t="s">
        <v>85</v>
      </c>
    </row>
    <row r="80" spans="1:7" x14ac:dyDescent="0.25">
      <c r="A80" s="3">
        <v>0.59375</v>
      </c>
      <c r="B80" t="s">
        <v>0</v>
      </c>
      <c r="C80">
        <v>71</v>
      </c>
      <c r="D80" t="s">
        <v>79</v>
      </c>
      <c r="E80" t="s">
        <v>83</v>
      </c>
      <c r="F80" t="s">
        <v>84</v>
      </c>
      <c r="G80" t="s">
        <v>85</v>
      </c>
    </row>
    <row r="81" spans="1:7" x14ac:dyDescent="0.25">
      <c r="A81" s="3">
        <v>0.59652777777777777</v>
      </c>
      <c r="B81" t="s">
        <v>11</v>
      </c>
      <c r="C81">
        <v>72</v>
      </c>
      <c r="D81" t="s">
        <v>86</v>
      </c>
      <c r="E81" t="s">
        <v>83</v>
      </c>
      <c r="F81" t="s">
        <v>81</v>
      </c>
      <c r="G81" t="s">
        <v>85</v>
      </c>
    </row>
    <row r="82" spans="1:7" x14ac:dyDescent="0.25">
      <c r="A82" s="3">
        <v>0.59791666666666665</v>
      </c>
      <c r="B82" t="s">
        <v>67</v>
      </c>
      <c r="C82">
        <v>73</v>
      </c>
      <c r="D82" t="s">
        <v>86</v>
      </c>
      <c r="E82" t="s">
        <v>80</v>
      </c>
      <c r="F82" t="s">
        <v>95</v>
      </c>
      <c r="G82" t="s">
        <v>107</v>
      </c>
    </row>
    <row r="83" spans="1:7" x14ac:dyDescent="0.25">
      <c r="A83" s="3">
        <v>0.59930555555555554</v>
      </c>
      <c r="B83" t="s">
        <v>14</v>
      </c>
      <c r="C83">
        <v>74</v>
      </c>
      <c r="D83" t="s">
        <v>79</v>
      </c>
      <c r="E83" t="s">
        <v>83</v>
      </c>
      <c r="F83" t="s">
        <v>87</v>
      </c>
      <c r="G83" t="s">
        <v>85</v>
      </c>
    </row>
    <row r="84" spans="1:7" x14ac:dyDescent="0.25">
      <c r="A84" s="3">
        <v>0.60138888888888886</v>
      </c>
      <c r="B84" t="s">
        <v>68</v>
      </c>
      <c r="C84">
        <v>75</v>
      </c>
      <c r="D84" t="s">
        <v>86</v>
      </c>
      <c r="E84" t="s">
        <v>80</v>
      </c>
      <c r="F84" t="s">
        <v>81</v>
      </c>
      <c r="G84" t="s">
        <v>90</v>
      </c>
    </row>
    <row r="85" spans="1:7" x14ac:dyDescent="0.25">
      <c r="A85" s="3">
        <v>0.60138888888888886</v>
      </c>
      <c r="B85" t="s">
        <v>6</v>
      </c>
      <c r="C85">
        <v>76</v>
      </c>
      <c r="D85" t="s">
        <v>79</v>
      </c>
      <c r="E85" t="s">
        <v>83</v>
      </c>
      <c r="F85" t="s">
        <v>81</v>
      </c>
      <c r="G85" t="s">
        <v>85</v>
      </c>
    </row>
    <row r="86" spans="1:7" x14ac:dyDescent="0.25">
      <c r="A86" s="3">
        <v>0.60277777777777775</v>
      </c>
      <c r="B86" t="s">
        <v>69</v>
      </c>
      <c r="C86">
        <v>77</v>
      </c>
      <c r="D86" t="s">
        <v>106</v>
      </c>
      <c r="E86" t="s">
        <v>80</v>
      </c>
      <c r="F86" t="s">
        <v>95</v>
      </c>
      <c r="G86" t="s">
        <v>99</v>
      </c>
    </row>
    <row r="87" spans="1:7" x14ac:dyDescent="0.25">
      <c r="A87" s="3">
        <v>0.60277777777777775</v>
      </c>
      <c r="B87" t="s">
        <v>70</v>
      </c>
      <c r="C87">
        <v>78</v>
      </c>
      <c r="D87" t="s">
        <v>86</v>
      </c>
      <c r="E87" t="s">
        <v>80</v>
      </c>
      <c r="F87" t="s">
        <v>84</v>
      </c>
      <c r="G87" t="s">
        <v>89</v>
      </c>
    </row>
    <row r="88" spans="1:7" x14ac:dyDescent="0.25">
      <c r="A88" s="3">
        <v>0.60277777777777775</v>
      </c>
      <c r="B88" t="s">
        <v>64</v>
      </c>
      <c r="C88">
        <v>79</v>
      </c>
      <c r="D88" t="s">
        <v>79</v>
      </c>
      <c r="E88" t="s">
        <v>80</v>
      </c>
      <c r="F88" t="s">
        <v>81</v>
      </c>
      <c r="G88" t="s">
        <v>104</v>
      </c>
    </row>
    <row r="89" spans="1:7" x14ac:dyDescent="0.25">
      <c r="A89" s="3">
        <v>0.60277777777777775</v>
      </c>
      <c r="B89" t="s">
        <v>11</v>
      </c>
      <c r="C89">
        <v>80</v>
      </c>
      <c r="D89" t="s">
        <v>86</v>
      </c>
      <c r="E89" t="s">
        <v>83</v>
      </c>
      <c r="F89" t="s">
        <v>81</v>
      </c>
      <c r="G89" t="s">
        <v>85</v>
      </c>
    </row>
    <row r="90" spans="1:7" x14ac:dyDescent="0.25">
      <c r="A90" s="3">
        <v>0.60486111111111118</v>
      </c>
      <c r="B90" t="s">
        <v>17</v>
      </c>
      <c r="C90">
        <v>81</v>
      </c>
      <c r="D90" t="s">
        <v>79</v>
      </c>
      <c r="E90" t="s">
        <v>83</v>
      </c>
      <c r="F90" t="s">
        <v>114</v>
      </c>
      <c r="G90" t="s">
        <v>85</v>
      </c>
    </row>
    <row r="91" spans="1:7" x14ac:dyDescent="0.25">
      <c r="A91" s="3">
        <v>0.60833333333333328</v>
      </c>
      <c r="B91" t="s">
        <v>18</v>
      </c>
      <c r="C91">
        <v>82</v>
      </c>
      <c r="D91" t="s">
        <v>86</v>
      </c>
      <c r="E91" t="s">
        <v>83</v>
      </c>
      <c r="F91" t="s">
        <v>117</v>
      </c>
      <c r="G91" t="s">
        <v>85</v>
      </c>
    </row>
    <row r="92" spans="1:7" x14ac:dyDescent="0.25">
      <c r="A92" s="3">
        <v>0.60902777777777783</v>
      </c>
      <c r="B92" t="s">
        <v>6</v>
      </c>
      <c r="C92">
        <v>83</v>
      </c>
      <c r="D92" t="s">
        <v>79</v>
      </c>
      <c r="E92" t="s">
        <v>83</v>
      </c>
      <c r="F92" t="s">
        <v>81</v>
      </c>
      <c r="G92" t="s">
        <v>85</v>
      </c>
    </row>
    <row r="93" spans="1:7" x14ac:dyDescent="0.25">
      <c r="A93" s="3">
        <v>0.6118055555555556</v>
      </c>
      <c r="B93" t="s">
        <v>71</v>
      </c>
      <c r="C93">
        <v>84</v>
      </c>
      <c r="D93" t="s">
        <v>79</v>
      </c>
      <c r="E93" t="s">
        <v>80</v>
      </c>
      <c r="F93" t="s">
        <v>118</v>
      </c>
      <c r="G93" t="s">
        <v>90</v>
      </c>
    </row>
    <row r="94" spans="1:7" x14ac:dyDescent="0.25">
      <c r="A94" s="3">
        <v>0.6118055555555556</v>
      </c>
      <c r="B94" t="s">
        <v>68</v>
      </c>
      <c r="C94">
        <v>85</v>
      </c>
      <c r="D94" t="s">
        <v>86</v>
      </c>
      <c r="E94" t="s">
        <v>80</v>
      </c>
      <c r="F94" t="s">
        <v>81</v>
      </c>
      <c r="G94" t="s">
        <v>90</v>
      </c>
    </row>
    <row r="95" spans="1:7" x14ac:dyDescent="0.25">
      <c r="A95" s="3">
        <v>0.61249999999999993</v>
      </c>
      <c r="B95" t="s">
        <v>14</v>
      </c>
      <c r="C95">
        <v>86</v>
      </c>
      <c r="D95" t="s">
        <v>79</v>
      </c>
      <c r="E95" t="s">
        <v>83</v>
      </c>
      <c r="F95" t="s">
        <v>87</v>
      </c>
      <c r="G95" t="s">
        <v>85</v>
      </c>
    </row>
    <row r="96" spans="1:7" x14ac:dyDescent="0.25">
      <c r="A96" s="3">
        <v>0.61527777777777781</v>
      </c>
      <c r="B96" t="s">
        <v>14</v>
      </c>
      <c r="C96">
        <v>87</v>
      </c>
      <c r="D96" t="s">
        <v>79</v>
      </c>
      <c r="E96" t="s">
        <v>83</v>
      </c>
      <c r="F96" t="s">
        <v>87</v>
      </c>
      <c r="G96" t="s">
        <v>85</v>
      </c>
    </row>
    <row r="97" spans="1:7" x14ac:dyDescent="0.25">
      <c r="A97" s="3">
        <v>0.6166666666666667</v>
      </c>
      <c r="B97" t="s">
        <v>19</v>
      </c>
      <c r="C97">
        <v>88</v>
      </c>
      <c r="D97" t="s">
        <v>86</v>
      </c>
      <c r="E97" t="s">
        <v>80</v>
      </c>
      <c r="F97" t="s">
        <v>85</v>
      </c>
      <c r="G97" t="s">
        <v>100</v>
      </c>
    </row>
    <row r="98" spans="1:7" x14ac:dyDescent="0.25">
      <c r="A98" s="3">
        <v>0.61875000000000002</v>
      </c>
      <c r="B98" t="s">
        <v>72</v>
      </c>
      <c r="C98">
        <v>89</v>
      </c>
      <c r="D98" t="s">
        <v>106</v>
      </c>
      <c r="E98" t="s">
        <v>80</v>
      </c>
      <c r="F98" t="s">
        <v>105</v>
      </c>
      <c r="G98" t="s">
        <v>89</v>
      </c>
    </row>
    <row r="99" spans="1:7" x14ac:dyDescent="0.25">
      <c r="A99" s="3">
        <v>0.61875000000000002</v>
      </c>
      <c r="B99" t="s">
        <v>73</v>
      </c>
      <c r="C99">
        <v>90</v>
      </c>
      <c r="D99" t="s">
        <v>79</v>
      </c>
      <c r="E99" t="s">
        <v>80</v>
      </c>
      <c r="F99" t="s">
        <v>100</v>
      </c>
      <c r="G99" t="s">
        <v>99</v>
      </c>
    </row>
    <row r="100" spans="1:7" x14ac:dyDescent="0.25">
      <c r="A100" s="3">
        <v>0.62013888888888891</v>
      </c>
      <c r="B100" t="s">
        <v>7</v>
      </c>
      <c r="C100">
        <v>91</v>
      </c>
      <c r="D100" t="s">
        <v>79</v>
      </c>
      <c r="E100" t="s">
        <v>83</v>
      </c>
      <c r="F100" t="s">
        <v>95</v>
      </c>
      <c r="G100" t="s">
        <v>85</v>
      </c>
    </row>
    <row r="101" spans="1:7" x14ac:dyDescent="0.25">
      <c r="A101" s="3">
        <v>0.62222222222222223</v>
      </c>
      <c r="B101" t="s">
        <v>20</v>
      </c>
      <c r="C101">
        <v>92</v>
      </c>
      <c r="D101" t="s">
        <v>106</v>
      </c>
      <c r="E101" t="s">
        <v>83</v>
      </c>
      <c r="F101" t="s">
        <v>87</v>
      </c>
      <c r="G101" t="s">
        <v>85</v>
      </c>
    </row>
    <row r="102" spans="1:7" x14ac:dyDescent="0.25">
      <c r="A102" s="3">
        <v>0.62222222222222223</v>
      </c>
      <c r="B102" t="s">
        <v>74</v>
      </c>
      <c r="C102">
        <v>93</v>
      </c>
      <c r="D102" t="s">
        <v>86</v>
      </c>
      <c r="E102" t="s">
        <v>80</v>
      </c>
      <c r="F102" t="s">
        <v>105</v>
      </c>
      <c r="G102" t="s">
        <v>89</v>
      </c>
    </row>
    <row r="103" spans="1:7" x14ac:dyDescent="0.25">
      <c r="A103" s="3">
        <v>0.62361111111111112</v>
      </c>
      <c r="B103" t="s">
        <v>7</v>
      </c>
      <c r="C103">
        <v>94</v>
      </c>
      <c r="D103" t="s">
        <v>79</v>
      </c>
      <c r="E103" t="s">
        <v>83</v>
      </c>
      <c r="F103" t="s">
        <v>95</v>
      </c>
      <c r="G103" t="s">
        <v>85</v>
      </c>
    </row>
    <row r="104" spans="1:7" x14ac:dyDescent="0.25">
      <c r="A104" s="3">
        <v>0.62569444444444444</v>
      </c>
      <c r="B104" t="s">
        <v>0</v>
      </c>
      <c r="C104">
        <v>95</v>
      </c>
      <c r="D104" t="s">
        <v>79</v>
      </c>
      <c r="E104" t="s">
        <v>83</v>
      </c>
      <c r="F104" t="s">
        <v>84</v>
      </c>
      <c r="G104" t="s">
        <v>85</v>
      </c>
    </row>
    <row r="105" spans="1:7" x14ac:dyDescent="0.25">
      <c r="A105" s="3">
        <v>0.62708333333333333</v>
      </c>
      <c r="B105" t="s">
        <v>1</v>
      </c>
      <c r="C105">
        <v>96</v>
      </c>
      <c r="D105" t="s">
        <v>86</v>
      </c>
      <c r="E105" t="s">
        <v>83</v>
      </c>
      <c r="F105" t="s">
        <v>87</v>
      </c>
      <c r="G105" t="s">
        <v>85</v>
      </c>
    </row>
    <row r="106" spans="1:7" x14ac:dyDescent="0.25">
      <c r="A106" s="3">
        <v>0.62916666666666665</v>
      </c>
      <c r="B106" t="s">
        <v>75</v>
      </c>
      <c r="C106">
        <v>97</v>
      </c>
      <c r="D106" t="s">
        <v>86</v>
      </c>
      <c r="E106" t="s">
        <v>80</v>
      </c>
      <c r="F106" t="s">
        <v>81</v>
      </c>
      <c r="G106" t="s">
        <v>107</v>
      </c>
    </row>
    <row r="107" spans="1:7" x14ac:dyDescent="0.25">
      <c r="A107" s="3">
        <v>0.63055555555555554</v>
      </c>
      <c r="B107" t="s">
        <v>76</v>
      </c>
      <c r="C107">
        <v>98</v>
      </c>
      <c r="D107" t="s">
        <v>79</v>
      </c>
      <c r="E107" t="s">
        <v>80</v>
      </c>
      <c r="F107" t="s">
        <v>119</v>
      </c>
      <c r="G107" t="s">
        <v>102</v>
      </c>
    </row>
  </sheetData>
  <mergeCells count="2">
    <mergeCell ref="A1:C1"/>
    <mergeCell ref="A8:H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>Central Bank of Russian Federation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2015-06-01T13:00:42Z</dcterms:created>
  <dcterms:modified xsi:type="dcterms:W3CDTF">2015-06-02T11:48:27Z</dcterms:modified>
</cp:coreProperties>
</file>